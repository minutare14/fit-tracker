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emana de Teste" sheetId="2" r:id="rId6"/>
    <sheet state="visible" name="Treinamento" sheetId="3" r:id="rId7"/>
    <sheet state="visible" name="Semana de Reteste" sheetId="4" r:id="rId8"/>
    <sheet state="visible" name="Nutrição" sheetId="5" r:id="rId9"/>
    <sheet state="hidden" name="Tabelas" sheetId="6" r:id="rId10"/>
    <sheet state="visible" name="Videos" sheetId="7" r:id="rId11"/>
    <sheet state="hidden" name="Tabela Nutri" sheetId="8" r:id="rId12"/>
  </sheets>
  <definedNames>
    <definedName name="MMI">Tabelas!$A$49:$F$53</definedName>
  </definedNames>
  <calcPr/>
</workbook>
</file>

<file path=xl/sharedStrings.xml><?xml version="1.0" encoding="utf-8"?>
<sst xmlns="http://schemas.openxmlformats.org/spreadsheetml/2006/main" count="501" uniqueCount="207">
  <si>
    <t>BJJ PERFORMANCE</t>
  </si>
  <si>
    <t>Inicio</t>
  </si>
  <si>
    <t xml:space="preserve">Name </t>
  </si>
  <si>
    <t>EMANOEL MACEDO</t>
  </si>
  <si>
    <t>Gênero</t>
  </si>
  <si>
    <t>Masculino</t>
  </si>
  <si>
    <t xml:space="preserve">DADOS DE LUTA - Treinamento Aeróbico </t>
  </si>
  <si>
    <t>Duração da luta (min)</t>
  </si>
  <si>
    <t>Média de lutas em campeonato</t>
  </si>
  <si>
    <t>COMPOSIÇÃO CORPORAL</t>
  </si>
  <si>
    <t>Date</t>
  </si>
  <si>
    <t>Idade</t>
  </si>
  <si>
    <t>Estatura (cm)</t>
  </si>
  <si>
    <t>Massa corporal (Kg)</t>
  </si>
  <si>
    <t>Perimetria Pescoço (cm)</t>
  </si>
  <si>
    <t>Perimetria Abdomen (cm)</t>
  </si>
  <si>
    <t>Perimetria Quadril  (cm)</t>
  </si>
  <si>
    <t xml:space="preserve">Gordura (%) </t>
  </si>
  <si>
    <t xml:space="preserve">Gordura (Kg) </t>
  </si>
  <si>
    <t>Massa Livre de Gordura (Kg)</t>
  </si>
  <si>
    <t>BOLETIM</t>
  </si>
  <si>
    <t>VO2 máx</t>
  </si>
  <si>
    <t>Percentual de Gordura</t>
  </si>
  <si>
    <t xml:space="preserve">Força </t>
  </si>
  <si>
    <t xml:space="preserve">O quão forte você está com 1 número </t>
  </si>
  <si>
    <t>Que força estamos avaliando ?</t>
  </si>
  <si>
    <t xml:space="preserve">qual exercício esta usando ? </t>
  </si>
  <si>
    <t>1RM (Kg)  Inicial</t>
  </si>
  <si>
    <t>Força Relativa</t>
  </si>
  <si>
    <t>1RM (Kg) Final</t>
  </si>
  <si>
    <t xml:space="preserve">Membros Superiores Puxada </t>
  </si>
  <si>
    <t>Membros Superiores Empurrda</t>
  </si>
  <si>
    <t>Membros Inferiores Empurrada</t>
  </si>
  <si>
    <t xml:space="preserve">Membros Inferiores Puxada </t>
  </si>
  <si>
    <t>MONITORAMENTO DO TREINAMENTO - GAMEFICAÇÃO</t>
  </si>
  <si>
    <t xml:space="preserve">Presença Geral </t>
  </si>
  <si>
    <t xml:space="preserve">Presença </t>
  </si>
  <si>
    <t xml:space="preserve">Aproveitamento do Treinamento </t>
  </si>
  <si>
    <t>Semanas</t>
  </si>
  <si>
    <t xml:space="preserve">Upper Body Push </t>
  </si>
  <si>
    <t xml:space="preserve">Upper Body Pull </t>
  </si>
  <si>
    <t xml:space="preserve">Lower Body </t>
  </si>
  <si>
    <t xml:space="preserve">Microciclo </t>
  </si>
  <si>
    <t>Meta</t>
  </si>
  <si>
    <t xml:space="preserve">TESTE </t>
  </si>
  <si>
    <t>Segunda</t>
  </si>
  <si>
    <t>Terça</t>
  </si>
  <si>
    <t>Quarta</t>
  </si>
  <si>
    <t>Quinta</t>
  </si>
  <si>
    <t>Sexta</t>
  </si>
  <si>
    <t xml:space="preserve">Sábado </t>
  </si>
  <si>
    <t xml:space="preserve">Domingo </t>
  </si>
  <si>
    <t>Empurrada</t>
  </si>
  <si>
    <t xml:space="preserve">Vo2 max </t>
  </si>
  <si>
    <t>Membros Inferiores</t>
  </si>
  <si>
    <t>Descanso</t>
  </si>
  <si>
    <t>Puxada</t>
  </si>
  <si>
    <t xml:space="preserve">Aula </t>
  </si>
  <si>
    <t xml:space="preserve">Descanso </t>
  </si>
  <si>
    <t xml:space="preserve">Treino </t>
  </si>
  <si>
    <t>N</t>
  </si>
  <si>
    <t xml:space="preserve">Exercício </t>
  </si>
  <si>
    <t>Série 1</t>
  </si>
  <si>
    <t>Série 2</t>
  </si>
  <si>
    <t>Série 3</t>
  </si>
  <si>
    <t>1 RM</t>
  </si>
  <si>
    <t xml:space="preserve">Carga </t>
  </si>
  <si>
    <t xml:space="preserve">Repetições </t>
  </si>
  <si>
    <t xml:space="preserve">Membros Superiores 
Empurrada </t>
  </si>
  <si>
    <t xml:space="preserve">Supino Reto ( Bench Press ) </t>
  </si>
  <si>
    <t xml:space="preserve">3 minutos </t>
  </si>
  <si>
    <t>Supino Inclinado com Barra</t>
  </si>
  <si>
    <t xml:space="preserve">Dumbbell Shoulder Press </t>
  </si>
  <si>
    <t>Remada Alta com Barra</t>
  </si>
  <si>
    <t>Tríceps Pulley</t>
  </si>
  <si>
    <t xml:space="preserve">Membros Superiores 
Puxada </t>
  </si>
  <si>
    <t>Remada Inclinada ( Barbell Row )</t>
  </si>
  <si>
    <t>Puxada Frontal ( Supinação )</t>
  </si>
  <si>
    <t>Remada Inclinada com Halter</t>
  </si>
  <si>
    <t>Voador Inverso no banco inclinado com Halter</t>
  </si>
  <si>
    <t>Rosca Martelo com Halter</t>
  </si>
  <si>
    <t>3 minutos</t>
  </si>
  <si>
    <t xml:space="preserve">Membros
Inferiores </t>
  </si>
  <si>
    <t>Agachamento com Barra nas Costas (Back Squat)</t>
  </si>
  <si>
    <t>Levantamento Terra ( Deadlift)</t>
  </si>
  <si>
    <t>Afundo com Halteres</t>
  </si>
  <si>
    <t>Stiff com Halter</t>
  </si>
  <si>
    <t xml:space="preserve">Distance 12 min </t>
  </si>
  <si>
    <r>
      <rPr>
        <rFont val="Helvetica Neue"/>
        <color theme="1"/>
      </rPr>
      <t xml:space="preserve">
</t>
    </r>
    <r>
      <rPr>
        <rFont val="Helvetica Neue"/>
        <b/>
        <color rgb="FF980000"/>
        <sz val="15.0"/>
      </rPr>
      <t xml:space="preserve">Objetivos dos Teste de Força 
</t>
    </r>
    <r>
      <rPr>
        <rFont val="Helvetica Neue"/>
        <b/>
        <color theme="1"/>
        <sz val="15.0"/>
      </rPr>
      <t xml:space="preserve">
</t>
    </r>
    <r>
      <rPr>
        <rFont val="Helvetica Neue"/>
        <color rgb="FF85200C"/>
      </rPr>
      <t xml:space="preserve">-na ultima tentativa chegar na maior carga entre 3 a 5 repetições. 
</t>
    </r>
    <r>
      <rPr>
        <rFont val="Helvetica Neue"/>
        <color theme="1"/>
      </rPr>
      <t xml:space="preserve">
</t>
    </r>
    <r>
      <rPr>
        <rFont val="Helvetica Neue"/>
        <b/>
        <color rgb="FF980000"/>
        <sz val="15.0"/>
      </rPr>
      <t xml:space="preserve">Objetivo do teste Vo2 Max 
</t>
    </r>
    <r>
      <rPr>
        <rFont val="Helvetica Neue"/>
        <b/>
        <color theme="1"/>
        <sz val="15.0"/>
      </rPr>
      <t xml:space="preserve">
</t>
    </r>
    <r>
      <rPr>
        <rFont val="Helvetica Neue"/>
        <color rgb="FF85200C"/>
      </rPr>
      <t>Maior distancia em metros em 12 minutos com a esteira a 1% de inclinação.</t>
    </r>
  </si>
  <si>
    <t>Vo2max (ml/kg/min)</t>
  </si>
  <si>
    <t>Vvo2 max (km/h)</t>
  </si>
  <si>
    <t>Sábado</t>
  </si>
  <si>
    <t>Domingo</t>
  </si>
  <si>
    <t>Aeróbico</t>
  </si>
  <si>
    <t xml:space="preserve">Membros Inferiroes </t>
  </si>
  <si>
    <t xml:space="preserve">Puxada </t>
  </si>
  <si>
    <t xml:space="preserve">Aeróbico </t>
  </si>
  <si>
    <t>Semana</t>
  </si>
  <si>
    <t xml:space="preserve">Semana </t>
  </si>
  <si>
    <t>Treino</t>
  </si>
  <si>
    <t>Intensidade</t>
  </si>
  <si>
    <t>Carga (Kg)</t>
  </si>
  <si>
    <t xml:space="preserve">Reps </t>
  </si>
  <si>
    <t>Set 1</t>
  </si>
  <si>
    <t>Set 2</t>
  </si>
  <si>
    <t>Set 3</t>
  </si>
  <si>
    <t xml:space="preserve">Mebros Superiores Empurrada </t>
  </si>
  <si>
    <t xml:space="preserve">Séries </t>
  </si>
  <si>
    <t>Duração (min)</t>
  </si>
  <si>
    <t xml:space="preserve">Intensidade </t>
  </si>
  <si>
    <t>Km/h</t>
  </si>
  <si>
    <t xml:space="preserve">Distancia </t>
  </si>
  <si>
    <t xml:space="preserve">PSE </t>
  </si>
  <si>
    <t>Média da FC (bpm)</t>
  </si>
  <si>
    <t>-</t>
  </si>
  <si>
    <t xml:space="preserve">Membros Inferiores </t>
  </si>
  <si>
    <t>Campeão</t>
  </si>
  <si>
    <t xml:space="preserve">Competitivo </t>
  </si>
  <si>
    <t>Pré-Competitivo</t>
  </si>
  <si>
    <t>Em Evolução</t>
  </si>
  <si>
    <t>Fraco</t>
  </si>
  <si>
    <t>Muito Fraco</t>
  </si>
  <si>
    <t>Sobrevivente</t>
  </si>
  <si>
    <t>RETESTE</t>
  </si>
  <si>
    <t xml:space="preserve">Perna </t>
  </si>
  <si>
    <t>BUILD UP</t>
  </si>
  <si>
    <t>Confere !</t>
  </si>
  <si>
    <t>1 RM (Kg)</t>
  </si>
  <si>
    <t>1RM (Kg) Inicial</t>
  </si>
  <si>
    <t xml:space="preserve">Melhora </t>
  </si>
  <si>
    <t xml:space="preserve">Teste </t>
  </si>
  <si>
    <t xml:space="preserve">Confere </t>
  </si>
  <si>
    <t xml:space="preserve">5 a 7 </t>
  </si>
  <si>
    <t>Assessment</t>
  </si>
  <si>
    <t>Distance ( meters)</t>
  </si>
  <si>
    <t>Vo2 Max 
(ml/kg/min)</t>
  </si>
  <si>
    <t>Vvo2 Max
 (Km/h)</t>
  </si>
  <si>
    <t>Improvement</t>
  </si>
  <si>
    <t>Old</t>
  </si>
  <si>
    <t>New</t>
  </si>
  <si>
    <t xml:space="preserve">PRE TREINO </t>
  </si>
  <si>
    <t>Está Refeição deve ser Feita com 1 hora antes do treino</t>
  </si>
  <si>
    <t>Carboidratos (g)</t>
  </si>
  <si>
    <t>Pré Treino</t>
  </si>
  <si>
    <t>Alimento</t>
  </si>
  <si>
    <t>Unidade</t>
  </si>
  <si>
    <t>Qantidade</t>
  </si>
  <si>
    <t>Carboidratos</t>
  </si>
  <si>
    <t>PÓS TREINO</t>
  </si>
  <si>
    <t>Pão francês</t>
  </si>
  <si>
    <t>Banana</t>
  </si>
  <si>
    <t>Proteína (g)</t>
  </si>
  <si>
    <t>Mel</t>
  </si>
  <si>
    <t>ADEQUAÇÃO</t>
  </si>
  <si>
    <t>DICA DE OURO</t>
  </si>
  <si>
    <t>Pós Treino</t>
  </si>
  <si>
    <t>COMO ESCOLHER UM BOM WHEY</t>
  </si>
  <si>
    <t xml:space="preserve">Em um porção de 30g deve conter no minimo 22g de proteínas e 2,2g de leucina. Além disso o carboidratos não pode passar de 6,5g.  </t>
  </si>
  <si>
    <t>Macarrão cozido</t>
  </si>
  <si>
    <t>Maçã</t>
  </si>
  <si>
    <t xml:space="preserve"> Whey Protein</t>
  </si>
  <si>
    <t xml:space="preserve">TABELA DE EXERCICIOS - caso queiro moficicar usar essa. </t>
  </si>
  <si>
    <t xml:space="preserve">Pull </t>
  </si>
  <si>
    <t xml:space="preserve">Lat Pull Down </t>
  </si>
  <si>
    <t>Puxada Frontal ( Triangulo )</t>
  </si>
  <si>
    <t xml:space="preserve">Remada Baixa </t>
  </si>
  <si>
    <t>Remada Sentada na Máquina</t>
  </si>
  <si>
    <t>Voador Inverso na Maquina</t>
  </si>
  <si>
    <t>Crossover na Polia Alta</t>
  </si>
  <si>
    <t>Rosca Direta com Barra W</t>
  </si>
  <si>
    <t>Rosca na Máquina (Scott)</t>
  </si>
  <si>
    <t xml:space="preserve">Push </t>
  </si>
  <si>
    <t>Supino Inclinado com Halteres</t>
  </si>
  <si>
    <t>Supino Inclinado na Máquina</t>
  </si>
  <si>
    <t>Desenvolvimento com Barra ( Shoulder Press )</t>
  </si>
  <si>
    <t>Shoulder Press na Máquina</t>
  </si>
  <si>
    <t xml:space="preserve">Dumbbell Evelação Lateral </t>
  </si>
  <si>
    <t>Elevação Lateral Inclinada com Halter</t>
  </si>
  <si>
    <t>Tríceps Francês com Halter</t>
  </si>
  <si>
    <t>Tríceps Testa com Barra</t>
  </si>
  <si>
    <t>Búlgaro com Halter</t>
  </si>
  <si>
    <t xml:space="preserve">Afundo Smith </t>
  </si>
  <si>
    <t>Stiff com Barra</t>
  </si>
  <si>
    <t xml:space="preserve">Flexora de Joelho Sentada </t>
  </si>
  <si>
    <t>Supino Reto</t>
  </si>
  <si>
    <t>Agachamento com Barra nas Costas</t>
  </si>
  <si>
    <t>Levantamento Terra</t>
  </si>
  <si>
    <t>UNidade de Medida</t>
  </si>
  <si>
    <t>Quantidade de Carboidrato</t>
  </si>
  <si>
    <t>Arroz branco cozido</t>
  </si>
  <si>
    <t>Colher de Sopa (20g)</t>
  </si>
  <si>
    <t>Arroz integral cozido</t>
  </si>
  <si>
    <t>Porção de 100g</t>
  </si>
  <si>
    <t>Colher de Sopa (15g)</t>
  </si>
  <si>
    <t>Aveia em flocos</t>
  </si>
  <si>
    <t>Tapioca (goma)</t>
  </si>
  <si>
    <t>Batata cozida</t>
  </si>
  <si>
    <t>Batata-doce cozida</t>
  </si>
  <si>
    <t>Inhame cozido</t>
  </si>
  <si>
    <t>Mandioca cozida</t>
  </si>
  <si>
    <t>Manga</t>
  </si>
  <si>
    <t>Uva</t>
  </si>
  <si>
    <t>Mamão</t>
  </si>
  <si>
    <t>Fatia (200g)</t>
  </si>
  <si>
    <t>Unidade (75g)</t>
  </si>
  <si>
    <t>Geleia De Fruta</t>
  </si>
  <si>
    <t>Ponta de Faca (5g)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</si>
</sst>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"/>
    <numFmt numFmtId="165" formatCode="0.0"/>
    <numFmt numFmtId="166" formatCode="0.0%"/>
    <numFmt numFmtId="167" formatCode="#,##0.0%"/>
    <numFmt numFmtId="168" formatCode="[m]&quot;m&quot;\ s&quot;s&quot;"/>
    <numFmt numFmtId="169" formatCode="d.m"/>
    <numFmt numFmtId="170" formatCode="#,##0.0"/>
  </numFmts>
  <fonts count="70">
    <font>
      <sz val="10.0"/>
      <color rgb="FF000000"/>
      <name val="Helvetica Neue"/>
      <scheme val="minor"/>
    </font>
    <font>
      <sz val="28.0"/>
      <color rgb="FFCCCCCC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  <font>
      <b/>
      <i/>
      <sz val="10.0"/>
      <color rgb="FF000000"/>
      <name val="Helvetica Neue"/>
    </font>
    <font>
      <b/>
      <i/>
      <sz val="17.0"/>
      <color rgb="FF000000"/>
      <name val="Helvetica Neue"/>
    </font>
    <font>
      <color theme="1"/>
      <name val="Helvetica Neue"/>
      <scheme val="minor"/>
    </font>
    <font>
      <b/>
      <sz val="15.0"/>
      <color rgb="FFFFFFFF"/>
      <name val="Helvetica Neue"/>
      <scheme val="minor"/>
    </font>
    <font>
      <b/>
      <sz val="10.0"/>
      <color rgb="FFBE271F"/>
      <name val="Helvetica Neue"/>
    </font>
    <font>
      <b/>
      <sz val="12.0"/>
      <color rgb="FF000000"/>
      <name val="Helvetica Neue"/>
    </font>
    <font>
      <b/>
      <sz val="10.0"/>
      <color rgb="FFFFFFFF"/>
      <name val="Helvetica Neue"/>
    </font>
    <font/>
    <font>
      <b/>
      <sz val="10.0"/>
      <color rgb="FFCC0000"/>
      <name val="Helvetica Neue"/>
    </font>
    <font>
      <b/>
      <sz val="9.0"/>
      <color rgb="FF000000"/>
      <name val="Helvetica Neue"/>
    </font>
    <font>
      <i/>
      <sz val="10.0"/>
      <color rgb="FF000000"/>
      <name val="Helvetica Neue"/>
    </font>
    <font>
      <b/>
      <sz val="9.0"/>
      <color rgb="FFCC0000"/>
      <name val="Helvetica Neue"/>
    </font>
    <font>
      <b/>
      <sz val="15.0"/>
      <color rgb="FFFFFFFF"/>
      <name val="Helvetica Neue"/>
    </font>
    <font>
      <b/>
      <sz val="12.0"/>
      <color rgb="FFBE271F"/>
      <name val="Helvetica Neue"/>
      <scheme val="minor"/>
    </font>
    <font>
      <sz val="28.0"/>
      <color rgb="FFFFFFFF"/>
      <name val="Helvetica Neue"/>
      <scheme val="minor"/>
    </font>
    <font>
      <sz val="23.0"/>
      <color rgb="FFFFFFFF"/>
      <name val="Helvetica Neue"/>
      <scheme val="minor"/>
    </font>
    <font>
      <b/>
      <color rgb="FFBE271F"/>
      <name val="Helvetica Neue"/>
      <scheme val="minor"/>
    </font>
    <font>
      <sz val="8.0"/>
      <color theme="1"/>
      <name val="Helvetica Neue"/>
      <scheme val="minor"/>
    </font>
    <font>
      <b/>
      <color rgb="FFFFFFFF"/>
      <name val="Helvetica Neue"/>
      <scheme val="minor"/>
    </font>
    <font>
      <color rgb="FFFFFFFF"/>
      <name val="Helvetica Neue"/>
      <scheme val="minor"/>
    </font>
    <font>
      <sz val="15.0"/>
      <color rgb="FFBE271F"/>
      <name val="Helvetica Neue"/>
      <scheme val="minor"/>
    </font>
    <font>
      <b/>
      <sz val="13.0"/>
      <color rgb="FFFFFFFF"/>
      <name val="Helvetica Neue"/>
      <scheme val="minor"/>
    </font>
    <font>
      <b/>
      <sz val="20.0"/>
      <color rgb="FFBE271F"/>
      <name val="Helvetica Neue"/>
    </font>
    <font>
      <b/>
      <sz val="10.0"/>
      <color rgb="FFF3F3F3"/>
      <name val="Helvetica Neue"/>
    </font>
    <font>
      <b/>
      <sz val="16.0"/>
      <color rgb="FFFFFFFF"/>
      <name val="Helvetica Neue"/>
    </font>
    <font>
      <b/>
      <sz val="12.0"/>
      <color rgb="FFD9D9D9"/>
      <name val="Helvetica Neue"/>
    </font>
    <font>
      <b/>
      <color rgb="FFCC0000"/>
      <name val="Helvetica Neue"/>
      <scheme val="minor"/>
    </font>
    <font>
      <sz val="10.0"/>
      <color rgb="FFBE271F"/>
      <name val="Helvetica Neue"/>
    </font>
    <font>
      <sz val="11.0"/>
      <color rgb="FFBE271F"/>
      <name val="Helvetica Neue"/>
    </font>
    <font>
      <sz val="11.0"/>
      <color rgb="FF000000"/>
      <name val="Helvetica Neue"/>
    </font>
    <font>
      <b/>
      <sz val="11.0"/>
      <color rgb="FFBE271F"/>
      <name val="Helvetica Neue"/>
    </font>
    <font>
      <sz val="14.0"/>
      <color rgb="FF000000"/>
      <name val="Helvetica Neue"/>
    </font>
    <font>
      <b/>
      <sz val="20.0"/>
      <color rgb="FF000000"/>
      <name val="Helvetica Neue"/>
    </font>
    <font>
      <color rgb="FF000000"/>
      <name val="Helvetica Neue"/>
      <scheme val="minor"/>
    </font>
    <font>
      <color rgb="FF6AA84F"/>
      <name val="Helvetica Neue"/>
      <scheme val="minor"/>
    </font>
    <font>
      <color rgb="FF93C47D"/>
      <name val="Helvetica Neue"/>
      <scheme val="minor"/>
    </font>
    <font>
      <b/>
      <color rgb="FF000000"/>
      <name val="Helvetica Neue"/>
      <scheme val="minor"/>
    </font>
    <font>
      <b/>
      <sz val="11.0"/>
      <color rgb="FFF3F3F3"/>
      <name val="Helvetica Neue"/>
    </font>
    <font>
      <i/>
      <sz val="25.0"/>
      <color rgb="FF000000"/>
      <name val="Helvetica Neue"/>
    </font>
    <font>
      <sz val="15.0"/>
      <color rgb="FF000000"/>
      <name val="Helvetica Neue"/>
    </font>
    <font>
      <sz val="20.0"/>
      <color rgb="FFF3F3F3"/>
      <name val="Helvetica Neue"/>
    </font>
    <font>
      <b/>
      <sz val="11.0"/>
      <color rgb="FFFEFFFE"/>
      <name val="Helvetica Neue"/>
    </font>
    <font>
      <sz val="13.0"/>
      <color rgb="FF000000"/>
      <name val="Helvetica Neue"/>
    </font>
    <font>
      <b/>
      <i/>
      <sz val="10.0"/>
      <color rgb="FFBE271F"/>
      <name val="Helvetica Neue"/>
    </font>
    <font>
      <b/>
      <sz val="8.0"/>
      <color rgb="FFFFFFFF"/>
      <name val="&quot;Helvetica Neue&quot;"/>
    </font>
    <font>
      <b/>
      <sz val="20.0"/>
      <color rgb="FFFFFFFF"/>
      <name val="&quot;Helvetica Neue&quot;"/>
    </font>
    <font>
      <sz val="14.0"/>
      <color rgb="FF000000"/>
      <name val="&quot;Helvetica Neue&quot;"/>
    </font>
    <font>
      <sz val="8.0"/>
      <color rgb="FF000000"/>
      <name val="&quot;Helvetica Neue&quot;"/>
    </font>
    <font>
      <sz val="11.0"/>
      <color rgb="FF000000"/>
      <name val="Helvetica Neue"/>
      <scheme val="minor"/>
    </font>
    <font>
      <b/>
      <i/>
      <sz val="10.0"/>
      <color rgb="FF0075B9"/>
      <name val="Helvetica Neue"/>
    </font>
    <font>
      <b/>
      <sz val="10.0"/>
      <color rgb="FF004C7F"/>
      <name val="Helvetica Neue"/>
    </font>
    <font>
      <b/>
      <sz val="12.0"/>
      <color rgb="FFFFFFFF"/>
      <name val="Helvetica Neue"/>
    </font>
    <font>
      <color rgb="FFBE271F"/>
      <name val="Helvetica Neue"/>
      <scheme val="minor"/>
    </font>
    <font>
      <b/>
      <color theme="1"/>
      <name val="Helvetica Neue"/>
      <scheme val="minor"/>
    </font>
    <font>
      <b/>
      <color rgb="FF000000"/>
      <name val="&quot;Helvetica Neue&quot;"/>
    </font>
    <font>
      <b/>
      <color rgb="FFFFFFFF"/>
      <name val="&quot;Helvetica Neue&quot;"/>
    </font>
    <font>
      <b/>
      <i/>
      <color rgb="FF000000"/>
      <name val="&quot;Helvetica Neue&quot;"/>
    </font>
    <font>
      <color rgb="FF000000"/>
      <name val="&quot;Helvetica Neue&quot;"/>
    </font>
    <font>
      <sz val="11.0"/>
      <color rgb="FF000000"/>
      <name val="&quot;Helvetica Neue&quot;"/>
    </font>
    <font>
      <b/>
      <sz val="12.0"/>
      <color rgb="FFFFFFFF"/>
      <name val="Helvetica Neue"/>
      <scheme val="minor"/>
    </font>
    <font>
      <color rgb="FFFFFFFF"/>
      <name val="Helvetica Neue"/>
    </font>
    <font>
      <color theme="1"/>
      <name val="Helvetica Neue"/>
    </font>
    <font>
      <b/>
      <sz val="13.0"/>
      <color rgb="FFBE271F"/>
      <name val="Helvetica Neue"/>
      <scheme val="minor"/>
    </font>
    <font>
      <sz val="9.0"/>
      <color rgb="FF000000"/>
      <name val="&quot;Helvetica Neue&quot;"/>
    </font>
    <font>
      <b/>
      <sz val="9.0"/>
      <color rgb="FF000000"/>
      <name val="&quot;Helvetica Neue&quot;"/>
    </font>
    <font>
      <u/>
      <sz val="9.0"/>
      <color rgb="FF0000FF"/>
      <name val="&quot;Helvetica Neue&quot;"/>
    </font>
  </fonts>
  <fills count="25">
    <fill>
      <patternFill patternType="none"/>
    </fill>
    <fill>
      <patternFill patternType="lightGray"/>
    </fill>
    <fill>
      <patternFill patternType="solid">
        <fgColor rgb="FFBE271F"/>
        <bgColor rgb="FFBE271F"/>
      </patternFill>
    </fill>
    <fill>
      <patternFill patternType="solid">
        <fgColor rgb="FFD5D5D5"/>
        <bgColor rgb="FFD5D5D5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EFFFE"/>
        <bgColor rgb="FFFEFFFE"/>
      </patternFill>
    </fill>
    <fill>
      <patternFill patternType="solid">
        <fgColor rgb="FFF4CCCC"/>
        <bgColor rgb="FFF4CCCC"/>
      </patternFill>
    </fill>
    <fill>
      <patternFill patternType="solid">
        <fgColor rgb="FF990000"/>
        <bgColor rgb="FF990000"/>
      </patternFill>
    </fill>
    <fill>
      <patternFill patternType="solid">
        <fgColor rgb="FF919191"/>
        <bgColor rgb="FF919191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E6B8AF"/>
        <bgColor rgb="FFE6B8AF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36">
    <border/>
    <border>
      <left/>
      <right/>
      <top/>
      <bottom/>
    </border>
    <border>
      <left style="thick">
        <color rgb="FFBE271F"/>
      </left>
      <top style="thick">
        <color rgb="FFBE271F"/>
      </top>
      <bottom style="thick">
        <color rgb="FFBE271F"/>
      </bottom>
    </border>
    <border>
      <right style="thin">
        <color rgb="FFA5A5A5"/>
      </right>
      <top style="thick">
        <color rgb="FFBE271F"/>
      </top>
      <bottom style="thick">
        <color rgb="FFBE271F"/>
      </bottom>
    </border>
    <border>
      <left style="thin">
        <color rgb="FFA5A5A5"/>
      </left>
      <right style="thin">
        <color rgb="FFA5A5A5"/>
      </right>
      <top style="thick">
        <color rgb="FFBE271F"/>
      </top>
      <bottom style="thick">
        <color rgb="FFBE271F"/>
      </bottom>
    </border>
    <border>
      <left style="thin">
        <color rgb="FFA5A5A5"/>
      </left>
      <right style="thick">
        <color rgb="FFBE271F"/>
      </right>
      <top style="thick">
        <color rgb="FFBE271F"/>
      </top>
      <bottom style="thick">
        <color rgb="FFBE271F"/>
      </bottom>
    </border>
    <border>
      <left style="thick">
        <color rgb="FFBE271F"/>
      </left>
      <top style="thick">
        <color rgb="FFBE271F"/>
      </top>
      <bottom style="thin">
        <color rgb="FFA5A5A5"/>
      </bottom>
    </border>
    <border>
      <right style="thick">
        <color rgb="FFBE271F"/>
      </right>
      <top style="thick">
        <color rgb="FFBE271F"/>
      </top>
      <bottom style="thin">
        <color rgb="FFA5A5A5"/>
      </bottom>
    </border>
    <border>
      <left style="thick">
        <color rgb="FFBE271F"/>
      </left>
      <right style="thin">
        <color rgb="FFBE271F"/>
      </right>
      <top style="thick">
        <color rgb="FFBE271F"/>
      </top>
      <bottom style="thin">
        <color rgb="FFBE271F"/>
      </bottom>
    </border>
    <border>
      <left style="thick">
        <color rgb="FFBE271F"/>
      </left>
      <top style="thin">
        <color rgb="FFA5A5A5"/>
      </top>
      <bottom style="thin">
        <color rgb="FFA5A5A5"/>
      </bottom>
    </border>
    <border>
      <right style="thick">
        <color rgb="FFBE271F"/>
      </right>
      <top style="thin">
        <color rgb="FFA5A5A5"/>
      </top>
      <bottom style="thin">
        <color rgb="FFA5A5A5"/>
      </bottom>
    </border>
    <border>
      <left style="thick">
        <color rgb="FFBE271F"/>
      </left>
      <right style="thin">
        <color rgb="FFBE271F"/>
      </right>
      <top style="thin">
        <color rgb="FFBE271F"/>
      </top>
      <bottom style="thin">
        <color rgb="FFBE271F"/>
      </bottom>
    </border>
    <border>
      <left style="thin">
        <color rgb="FFBE271F"/>
      </left>
      <right style="thick">
        <color rgb="FFBE271F"/>
      </right>
      <top style="thin">
        <color rgb="FFBE271F"/>
      </top>
      <bottom style="thin">
        <color rgb="FFBE271F"/>
      </bottom>
    </border>
    <border>
      <left style="thick">
        <color rgb="FFBE271F"/>
      </left>
      <top style="thin">
        <color rgb="FFA5A5A5"/>
      </top>
      <bottom style="thick">
        <color rgb="FFBE271F"/>
      </bottom>
    </border>
    <border>
      <right style="thick">
        <color rgb="FFBE271F"/>
      </right>
      <top style="thin">
        <color rgb="FFA5A5A5"/>
      </top>
      <bottom style="thick">
        <color rgb="FFBE271F"/>
      </bottom>
    </border>
    <border>
      <left style="thick">
        <color rgb="FFBE271F"/>
      </left>
      <right style="thin">
        <color rgb="FFBE271F"/>
      </right>
      <top style="thin">
        <color rgb="FFBE271F"/>
      </top>
      <bottom style="thick">
        <color rgb="FFBE271F"/>
      </bottom>
    </border>
    <border>
      <left style="thin">
        <color rgb="FFBE271F"/>
      </left>
      <right style="thick">
        <color rgb="FFBE271F"/>
      </right>
      <top style="thin">
        <color rgb="FFBE271F"/>
      </top>
      <bottom style="thick">
        <color rgb="FFBE271F"/>
      </bottom>
    </border>
    <border>
      <left style="thin">
        <color rgb="FFBE271F"/>
      </left>
      <top style="thin">
        <color rgb="FFBE271F"/>
      </top>
      <bottom style="thin">
        <color rgb="FFBE271F"/>
      </bottom>
    </border>
    <border>
      <right style="thin">
        <color rgb="FFBE271F"/>
      </right>
      <top style="thin">
        <color rgb="FFBE271F"/>
      </top>
      <bottom style="thin">
        <color rgb="FFBE271F"/>
      </bottom>
    </border>
    <border>
      <left style="thin">
        <color rgb="FFBE271F"/>
      </left>
      <right style="thin">
        <color rgb="FFBE271F"/>
      </right>
      <top style="thin">
        <color rgb="FFBE271F"/>
      </top>
      <bottom style="thin">
        <color rgb="FFBE271F"/>
      </bottom>
    </border>
    <border>
      <right style="thick">
        <color rgb="FFBE271F"/>
      </right>
      <top style="thick">
        <color rgb="FFBE271F"/>
      </top>
      <bottom style="thick">
        <color rgb="FFBE271F"/>
      </bottom>
    </border>
    <border>
      <top style="thick">
        <color rgb="FFBE271F"/>
      </top>
      <bottom style="thick">
        <color rgb="FFBE271F"/>
      </bottom>
    </border>
    <border>
      <left style="thick">
        <color rgb="FFBE271F"/>
      </left>
      <right style="thick">
        <color rgb="FFBE271F"/>
      </right>
      <top style="thick">
        <color rgb="FFBE271F"/>
      </top>
      <bottom style="thick">
        <color rgb="FFBE271F"/>
      </bottom>
    </border>
    <border>
      <left style="thick">
        <color rgb="FFBE271F"/>
      </left>
      <top style="thick">
        <color rgb="FFBE271F"/>
      </top>
    </border>
    <border>
      <top style="thick">
        <color rgb="FFBE271F"/>
      </top>
    </border>
    <border>
      <right style="thick">
        <color rgb="FFBE271F"/>
      </right>
      <top style="thick">
        <color rgb="FFBE271F"/>
      </top>
    </border>
    <border>
      <left style="thick">
        <color rgb="FFBE271F"/>
      </left>
      <bottom style="thick">
        <color rgb="FFBE271F"/>
      </bottom>
    </border>
    <border>
      <bottom style="thick">
        <color rgb="FFBE271F"/>
      </bottom>
    </border>
    <border>
      <right style="thick">
        <color rgb="FFBE271F"/>
      </right>
      <bottom style="thick">
        <color rgb="FFBE271F"/>
      </bottom>
    </border>
    <border>
      <left style="thick">
        <color rgb="FFBE271F"/>
      </left>
    </border>
    <border>
      <right style="thick">
        <color rgb="FFBE271F"/>
      </right>
    </border>
    <border>
      <left style="thick">
        <color rgb="FFBE271F"/>
      </left>
      <right style="thick">
        <color rgb="FFBE271F"/>
      </right>
    </border>
    <border>
      <left style="thick">
        <color rgb="FFBE271F"/>
      </left>
      <right style="dotted">
        <color rgb="FFBE271F"/>
      </right>
    </border>
    <border>
      <left style="thick">
        <color rgb="FFBE271F"/>
      </left>
      <right style="thick">
        <color rgb="FFBE271F"/>
      </right>
      <top style="thick">
        <color rgb="FFBE271F"/>
      </top>
    </border>
    <border>
      <left style="thick">
        <color rgb="FFBE271F"/>
      </left>
      <right style="dotted">
        <color rgb="FFBE271F"/>
      </right>
      <top style="thick">
        <color rgb="FFBE271F"/>
      </top>
    </border>
    <border>
      <left style="thick">
        <color rgb="FFBE271F"/>
      </left>
      <right style="thick">
        <color rgb="FFBE271F"/>
      </right>
      <bottom style="thick">
        <color rgb="FFBE271F"/>
      </bottom>
    </border>
    <border>
      <left style="thick">
        <color rgb="FFBE271F"/>
      </left>
      <right style="dotted">
        <color rgb="FFBE271F"/>
      </right>
      <bottom style="thick">
        <color rgb="FFBE271F"/>
      </bottom>
    </border>
    <border>
      <left style="thick">
        <color rgb="FFBE271F"/>
      </left>
      <right style="thin">
        <color rgb="FFBFBFBF"/>
      </right>
      <top style="thick">
        <color rgb="FFBE271F"/>
      </top>
      <bottom style="thin">
        <color rgb="FFBFBFBF"/>
      </bottom>
    </border>
    <border>
      <left style="thin">
        <color rgb="FFBFBFBF"/>
      </left>
      <top style="thick">
        <color rgb="FFBE271F"/>
      </top>
      <bottom/>
    </border>
    <border>
      <right style="thick">
        <color rgb="FFBE271F"/>
      </right>
      <top style="thick">
        <color rgb="FFBE271F"/>
      </top>
      <bottom/>
    </border>
    <border>
      <left style="thick">
        <color rgb="FFBE271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left style="thick">
        <color rgb="FFBE271F"/>
      </left>
      <right style="thin">
        <color rgb="FFBFBFBF"/>
      </right>
      <top style="thin">
        <color rgb="FFBFBFBF"/>
      </top>
      <bottom style="thick">
        <color rgb="FFBE271F"/>
      </bottom>
    </border>
    <border>
      <left style="thin">
        <color rgb="FFBFBFBF"/>
      </left>
      <bottom style="thick">
        <color rgb="FFBE271F"/>
      </bottom>
    </border>
    <border>
      <left style="thin">
        <color rgb="FFBE271F"/>
      </left>
      <right style="thin">
        <color rgb="FFBE271F"/>
      </right>
      <top style="thin">
        <color rgb="FFBE271F"/>
      </top>
    </border>
    <border>
      <left style="thin">
        <color rgb="FFBE271F"/>
      </left>
      <right style="thin">
        <color rgb="FFBE271F"/>
      </right>
      <bottom style="thin">
        <color rgb="FFBE271F"/>
      </bottom>
    </border>
    <border>
      <left style="thick">
        <color rgb="FFBE271F"/>
      </left>
      <right style="thick">
        <color rgb="FFBE271F"/>
      </right>
      <top style="thick">
        <color rgb="FFBE271F"/>
      </top>
      <bottom style="medium">
        <color rgb="FFBE271F"/>
      </bottom>
    </border>
    <border>
      <left style="thick">
        <color rgb="FFBE271F"/>
      </left>
      <right style="medium">
        <color rgb="FFBE271F"/>
      </right>
      <top style="medium">
        <color rgb="FFBE271F"/>
      </top>
      <bottom style="medium">
        <color rgb="FFBE271F"/>
      </bottom>
    </border>
    <border>
      <left style="medium">
        <color rgb="FFFEFFFE"/>
      </left>
      <right style="medium">
        <color rgb="FFFEFFFE"/>
      </right>
      <top style="medium">
        <color rgb="FFFEFFFE"/>
      </top>
    </border>
    <border>
      <left style="medium">
        <color rgb="FFFEFFFE"/>
      </left>
      <right style="thin">
        <color rgb="FFFEFFFE"/>
      </right>
      <top style="medium">
        <color rgb="FFFEFFFE"/>
      </top>
    </border>
    <border>
      <left style="thin">
        <color rgb="FFFEFFFE"/>
      </left>
      <right style="medium">
        <color rgb="FFFEFFFE"/>
      </right>
      <top style="medium">
        <color rgb="FFFEFFFE"/>
      </top>
    </border>
    <border>
      <left style="medium">
        <color rgb="FFFEFFFE"/>
      </left>
      <right style="medium">
        <color rgb="FFFEFFFE"/>
      </right>
      <top style="thin">
        <color rgb="FFFEFFFE"/>
      </top>
    </border>
    <border>
      <left style="medium">
        <color rgb="FFFEFFFE"/>
      </left>
      <top style="thin">
        <color rgb="FFFEFFFE"/>
      </top>
    </border>
    <border>
      <left style="thick">
        <color rgb="FFBE271F"/>
      </left>
      <right style="thin">
        <color rgb="FFFAC7C2"/>
      </right>
      <top style="thick">
        <color rgb="FFBE271F"/>
      </top>
    </border>
    <border>
      <left style="thin">
        <color rgb="FFFAC7C2"/>
      </left>
      <right style="thick">
        <color rgb="FFBE271F"/>
      </right>
      <top style="thick">
        <color rgb="FFBE271F"/>
      </top>
    </border>
    <border>
      <left style="thick">
        <color rgb="FFBE271F"/>
      </left>
      <right style="thick">
        <color rgb="FFBE271F"/>
      </right>
      <top style="thin">
        <color rgb="FFFF0000"/>
      </top>
    </border>
    <border>
      <left style="dotted">
        <color rgb="FFCC0000"/>
      </left>
      <right style="dotted">
        <color rgb="FFCC0000"/>
      </right>
    </border>
    <border>
      <left style="dotted">
        <color rgb="FFCC0000"/>
      </left>
      <right style="thick">
        <color rgb="FFCC0000"/>
      </right>
    </border>
    <border>
      <right style="medium">
        <color rgb="FFBE271F"/>
      </right>
      <top style="medium">
        <color rgb="FFBE271F"/>
      </top>
    </border>
    <border>
      <left style="medium">
        <color rgb="FFBE271F"/>
      </left>
      <right style="medium">
        <color rgb="FFBE271F"/>
      </right>
      <top style="medium">
        <color rgb="FFBE271F"/>
      </top>
    </border>
    <border>
      <left style="thick">
        <color rgb="FFCC0000"/>
      </left>
      <right style="thin">
        <color rgb="FFBE271F"/>
      </right>
      <top style="thick">
        <color rgb="FFCC0000"/>
      </top>
    </border>
    <border>
      <left style="thin">
        <color rgb="FFBE271F"/>
      </left>
      <right style="thin">
        <color rgb="FFBE271F"/>
      </right>
      <top style="thick">
        <color rgb="FFCC0000"/>
      </top>
    </border>
    <border>
      <left style="thin">
        <color rgb="FFBE271F"/>
      </left>
      <right style="thick">
        <color rgb="FFCC0000"/>
      </right>
      <top style="thick">
        <color rgb="FFCC0000"/>
      </top>
    </border>
    <border>
      <left style="thick">
        <color rgb="FFBE271F"/>
      </left>
      <right style="thin">
        <color rgb="FFFAC7C2"/>
      </right>
    </border>
    <border>
      <left style="thin">
        <color rgb="FFFAC7C2"/>
      </left>
      <right style="thick">
        <color rgb="FFBE271F"/>
      </right>
    </border>
    <border>
      <right style="medium">
        <color rgb="FFBE271F"/>
      </right>
    </border>
    <border>
      <left style="medium">
        <color rgb="FFBE271F"/>
      </left>
      <right style="medium">
        <color rgb="FFBE271F"/>
      </right>
    </border>
    <border>
      <left style="thick">
        <color rgb="FFCC0000"/>
      </left>
      <right style="thin">
        <color rgb="FFBE271F"/>
      </right>
      <top style="medium">
        <color rgb="FFCC0000"/>
      </top>
    </border>
    <border>
      <left style="thin">
        <color rgb="FFBE271F"/>
      </left>
      <right style="thin">
        <color rgb="FFBE271F"/>
      </right>
      <top style="medium">
        <color rgb="FFCC0000"/>
      </top>
    </border>
    <border>
      <left style="thin">
        <color rgb="FFBE271F"/>
      </left>
      <right style="thin">
        <color rgb="FFBE271F"/>
      </right>
      <top style="medium">
        <color rgb="FFCC0000"/>
      </top>
      <bottom style="thin">
        <color rgb="FFBE271F"/>
      </bottom>
    </border>
    <border>
      <left style="thin">
        <color rgb="FFBE271F"/>
      </left>
      <right style="thick">
        <color rgb="FFCC0000"/>
      </right>
      <top style="medium">
        <color rgb="FFCC0000"/>
      </top>
    </border>
    <border>
      <left style="thick">
        <color rgb="FFCC0000"/>
      </left>
      <right style="thin">
        <color rgb="FFBE271F"/>
      </right>
    </border>
    <border>
      <left style="thin">
        <color rgb="FFBE271F"/>
      </left>
      <right style="thick">
        <color rgb="FFCC0000"/>
      </right>
      <bottom style="thin">
        <color rgb="FFBE271F"/>
      </bottom>
    </border>
    <border>
      <left style="thin">
        <color rgb="FFBE271F"/>
      </left>
      <right style="thick">
        <color rgb="FFCC0000"/>
      </right>
      <top style="thin">
        <color rgb="FFBE271F"/>
      </top>
    </border>
    <border>
      <left style="thick">
        <color rgb="FFBE271F"/>
      </left>
      <right style="thin">
        <color rgb="FFFAC7C2"/>
      </right>
      <bottom style="thick">
        <color rgb="FFBE271F"/>
      </bottom>
    </border>
    <border>
      <left style="thin">
        <color rgb="FFFAC7C2"/>
      </left>
      <right style="thick">
        <color rgb="FFBE271F"/>
      </right>
      <bottom style="thick">
        <color rgb="FFBE271F"/>
      </bottom>
    </border>
    <border>
      <left style="thick">
        <color rgb="FFCC0000"/>
      </left>
      <right style="thin">
        <color rgb="FFBE271F"/>
      </right>
      <bottom style="medium">
        <color rgb="FFCC0000"/>
      </bottom>
    </border>
    <border>
      <left style="thin">
        <color rgb="FFBE271F"/>
      </left>
      <right style="thin">
        <color rgb="FFBE271F"/>
      </right>
      <bottom style="medium">
        <color rgb="FFCC0000"/>
      </bottom>
    </border>
    <border>
      <left style="thin">
        <color rgb="FFBE271F"/>
      </left>
      <right style="thin">
        <color rgb="FFBE271F"/>
      </right>
      <top style="thin">
        <color rgb="FFBE271F"/>
      </top>
      <bottom style="medium">
        <color rgb="FFCC0000"/>
      </bottom>
    </border>
    <border>
      <left style="thin">
        <color rgb="FFBE271F"/>
      </left>
      <right style="thick">
        <color rgb="FFCC0000"/>
      </right>
      <bottom style="medium">
        <color rgb="FFCC0000"/>
      </bottom>
    </border>
    <border>
      <left style="dotted">
        <color rgb="FFCC0000"/>
      </left>
      <right style="dotted">
        <color rgb="FFCC0000"/>
      </right>
      <top style="thick">
        <color rgb="FFBE271F"/>
      </top>
    </border>
    <border>
      <left style="thin">
        <color rgb="FFBE271F"/>
      </left>
      <right style="thin">
        <color rgb="FFBE271F"/>
      </right>
    </border>
    <border>
      <left style="thin">
        <color rgb="FFBE271F"/>
      </left>
      <right style="thick">
        <color rgb="FFCC0000"/>
      </right>
    </border>
    <border>
      <left style="dotted">
        <color rgb="FFCC0000"/>
      </left>
      <right style="dotted">
        <color rgb="FFCC0000"/>
      </right>
      <bottom style="thick">
        <color rgb="FFBE271F"/>
      </bottom>
    </border>
    <border>
      <right style="medium">
        <color rgb="FFBE271F"/>
      </right>
      <bottom style="medium">
        <color rgb="FFBE271F"/>
      </bottom>
    </border>
    <border>
      <left style="thin">
        <color rgb="FFFAC7C2"/>
      </left>
    </border>
    <border>
      <left style="thin">
        <color rgb="FFFAC7C2"/>
      </left>
      <bottom style="thick">
        <color rgb="FFBE271F"/>
      </bottom>
    </border>
    <border>
      <left style="medium">
        <color rgb="FFBE271F"/>
      </left>
      <right style="medium">
        <color rgb="FFBE271F"/>
      </right>
      <bottom style="medium">
        <color rgb="FFBE271F"/>
      </bottom>
    </border>
    <border>
      <left style="medium">
        <color rgb="FFFEFFFE"/>
      </left>
      <right style="medium">
        <color rgb="FFFEFFFE"/>
      </right>
    </border>
    <border>
      <left style="medium">
        <color rgb="FFFEFFFE"/>
      </left>
      <right style="thin">
        <color rgb="FFFEFFFE"/>
      </right>
    </border>
    <border>
      <left style="thin">
        <color rgb="FFFEFFFE"/>
      </left>
      <right style="thin">
        <color rgb="FFFEFFFE"/>
      </right>
    </border>
    <border>
      <left style="thin">
        <color rgb="FFFEFFFE"/>
      </left>
      <right style="medium">
        <color rgb="FFFEFFFE"/>
      </right>
    </border>
    <border>
      <left style="thin">
        <color rgb="FFFEFFFE"/>
      </left>
      <right style="thick">
        <color rgb="FFFEFFFE"/>
      </right>
    </border>
    <border>
      <left style="thick">
        <color rgb="FFFEFFFE"/>
      </left>
      <right style="dotted">
        <color rgb="FFFEFFFE"/>
      </right>
    </border>
    <border>
      <left style="dotted">
        <color rgb="FFFEFFFE"/>
      </left>
      <right style="dotted">
        <color rgb="FFFEFFFE"/>
      </right>
    </border>
    <border>
      <left style="dotted">
        <color rgb="FFFEFFFE"/>
      </left>
      <right style="medium">
        <color rgb="FFFEFFFE"/>
      </right>
    </border>
    <border>
      <left style="medium">
        <color rgb="FFFEFFFE"/>
      </left>
      <bottom style="medium">
        <color rgb="FFFEFFFE"/>
      </bottom>
    </border>
    <border>
      <left style="thick">
        <color rgb="FFCC0000"/>
      </left>
      <right style="thin">
        <color rgb="FFBE271F"/>
      </right>
      <bottom style="thick">
        <color rgb="FFCC0000"/>
      </bottom>
    </border>
    <border>
      <left style="thin">
        <color rgb="FFBE271F"/>
      </left>
      <right style="thin">
        <color rgb="FFBE271F"/>
      </right>
      <bottom style="thick">
        <color rgb="FFCC0000"/>
      </bottom>
    </border>
    <border>
      <left style="thin">
        <color rgb="FFBE271F"/>
      </left>
      <right style="thin">
        <color rgb="FFBE271F"/>
      </right>
      <top style="thin">
        <color rgb="FFBE271F"/>
      </top>
      <bottom style="thick">
        <color rgb="FFCC0000"/>
      </bottom>
    </border>
    <border>
      <left style="thin">
        <color rgb="FFBE271F"/>
      </left>
      <right style="thick">
        <color rgb="FFCC0000"/>
      </right>
      <bottom style="thick">
        <color rgb="FFCC0000"/>
      </bottom>
    </border>
    <border>
      <left style="thick">
        <color rgb="FFCC0000"/>
      </left>
      <top style="thick">
        <color rgb="FFCC0000"/>
      </top>
    </border>
    <border>
      <right style="thick">
        <color rgb="FFCC0000"/>
      </right>
      <top style="thick">
        <color rgb="FFCC0000"/>
      </top>
    </border>
    <border>
      <left style="thick">
        <color rgb="FFCC0000"/>
      </left>
    </border>
    <border>
      <right style="thick">
        <color rgb="FFCC0000"/>
      </right>
    </border>
    <border>
      <left style="thick">
        <color rgb="FFFEFFFE"/>
      </left>
    </border>
    <border>
      <right style="medium">
        <color rgb="FFFEFFFE"/>
      </right>
    </border>
    <border>
      <left style="medium">
        <color rgb="FFFEFFFE"/>
      </left>
      <top style="thin">
        <color rgb="FFFEFFFE"/>
      </top>
      <bottom style="medium">
        <color rgb="FFFEFFFE"/>
      </bottom>
    </border>
    <border>
      <left style="thick">
        <color rgb="FFCC0000"/>
      </left>
      <bottom style="thick">
        <color rgb="FFCC0000"/>
      </bottom>
    </border>
    <border>
      <right style="thick">
        <color rgb="FFCC0000"/>
      </right>
      <bottom style="thick">
        <color rgb="FFCC0000"/>
      </bottom>
    </border>
    <border>
      <right style="dotted">
        <color rgb="FFCC0000"/>
      </right>
      <top style="thick">
        <color rgb="FFBE271F"/>
      </top>
    </border>
    <border>
      <right style="dotted">
        <color rgb="FFCC0000"/>
      </right>
    </border>
    <border>
      <left style="thick">
        <color rgb="FFBE271F"/>
      </left>
      <right style="thin">
        <color rgb="FFFAC7C2"/>
      </right>
      <top style="thick">
        <color rgb="FF990000"/>
      </top>
    </border>
    <border>
      <left style="thin">
        <color rgb="FFFAC7C2"/>
      </left>
      <right style="thick">
        <color rgb="FFBE271F"/>
      </right>
      <top style="thick">
        <color rgb="FF990000"/>
      </top>
    </border>
    <border>
      <left style="thick">
        <color rgb="FFBE271F"/>
      </left>
      <top style="thick">
        <color rgb="FF990000"/>
      </top>
    </border>
    <border>
      <left style="thick">
        <color rgb="FFBE271F"/>
      </left>
      <right style="thick">
        <color rgb="FFBE271F"/>
      </right>
      <top style="thick">
        <color rgb="FF990000"/>
      </top>
    </border>
    <border>
      <left style="thick">
        <color rgb="FFBE271F"/>
      </left>
      <right style="dotted">
        <color rgb="FFBE271F"/>
      </right>
      <top style="thick">
        <color rgb="FF990000"/>
      </top>
    </border>
    <border>
      <right style="dotted">
        <color rgb="FFCC0000"/>
      </right>
      <top style="thick">
        <color rgb="FF990000"/>
      </top>
    </border>
    <border>
      <right style="thick">
        <color rgb="FFBE271F"/>
      </right>
      <top style="thick">
        <color rgb="FF990000"/>
      </top>
    </border>
    <border>
      <right style="medium">
        <color rgb="FFBE271F"/>
      </right>
      <top style="thick">
        <color rgb="FF990000"/>
      </top>
    </border>
    <border>
      <left style="thick">
        <color rgb="FFBE271F"/>
      </left>
      <right style="thin">
        <color rgb="FFFAC7C2"/>
      </right>
      <bottom style="thick">
        <color rgb="FF990000"/>
      </bottom>
    </border>
    <border>
      <left style="thin">
        <color rgb="FFFAC7C2"/>
      </left>
      <right style="thick">
        <color rgb="FFBE271F"/>
      </right>
      <bottom style="thick">
        <color rgb="FF990000"/>
      </bottom>
    </border>
    <border>
      <left style="thick">
        <color rgb="FFBE271F"/>
      </left>
      <bottom style="thick">
        <color rgb="FF990000"/>
      </bottom>
    </border>
    <border>
      <left style="thick">
        <color rgb="FFBE271F"/>
      </left>
      <right style="thick">
        <color rgb="FFBE271F"/>
      </right>
      <bottom style="thick">
        <color rgb="FF990000"/>
      </bottom>
    </border>
    <border>
      <left style="thick">
        <color rgb="FFBE271F"/>
      </left>
      <right style="dotted">
        <color rgb="FFBE271F"/>
      </right>
      <bottom style="thick">
        <color rgb="FF990000"/>
      </bottom>
    </border>
    <border>
      <right style="dotted">
        <color rgb="FFCC0000"/>
      </right>
      <bottom style="thick">
        <color rgb="FF990000"/>
      </bottom>
    </border>
    <border>
      <right style="thick">
        <color rgb="FFBE271F"/>
      </right>
      <bottom style="thick">
        <color rgb="FF990000"/>
      </bottom>
    </border>
    <border>
      <right style="medium">
        <color rgb="FFBE271F"/>
      </right>
      <bottom style="thick">
        <color rgb="FF990000"/>
      </bottom>
    </border>
    <border>
      <left style="thick">
        <color rgb="FFBE271F"/>
      </left>
      <bottom style="dotted">
        <color rgb="FFBE271F"/>
      </bottom>
    </border>
    <border>
      <bottom style="dotted">
        <color rgb="FFBE271F"/>
      </bottom>
    </border>
    <border>
      <right style="thick">
        <color rgb="FFBE271F"/>
      </right>
      <bottom style="dotted">
        <color rgb="FFBE271F"/>
      </bottom>
    </border>
    <border>
      <left style="thick">
        <color rgb="FFBE271F"/>
      </left>
      <bottom style="thick">
        <color rgb="FFCC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BE271F"/>
      </left>
      <right style="medium">
        <color rgb="FFBE271F"/>
      </right>
      <top style="medium">
        <color rgb="FFBE271F"/>
      </top>
      <bottom style="medium">
        <color rgb="FFBE271F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0">
    <xf borderId="0" fillId="0" fontId="0" numFmtId="0" xfId="0" applyAlignment="1" applyFont="1">
      <alignment readingOrder="0" shrinkToFit="0" vertical="top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horizontal="left" shrinkToFit="0" vertical="center" wrapText="1"/>
    </xf>
    <xf borderId="1" fillId="3" fontId="3" numFmtId="49" xfId="0" applyAlignment="1" applyBorder="1" applyFill="1" applyFont="1" applyNumberFormat="1">
      <alignment horizontal="center" readingOrder="0" shrinkToFit="0" vertical="center" wrapText="1"/>
    </xf>
    <xf borderId="1" fillId="4" fontId="4" numFmtId="164" xfId="0" applyAlignment="1" applyBorder="1" applyFill="1" applyFont="1" applyNumberFormat="1">
      <alignment horizontal="center" readingOrder="0" shrinkToFit="0" vertical="center" wrapText="1"/>
    </xf>
    <xf borderId="1" fillId="3" fontId="3" numFmtId="49" xfId="0" applyAlignment="1" applyBorder="1" applyFont="1" applyNumberFormat="1">
      <alignment horizontal="center" shrinkToFit="0" vertical="center" wrapText="1"/>
    </xf>
    <xf borderId="0" fillId="4" fontId="5" numFmtId="49" xfId="0" applyAlignment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5" fontId="4" numFmtId="49" xfId="0" applyAlignment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top" wrapText="1"/>
    </xf>
    <xf borderId="2" fillId="2" fontId="10" numFmtId="49" xfId="0" applyAlignment="1" applyBorder="1" applyFont="1" applyNumberFormat="1">
      <alignment horizontal="center" shrinkToFit="0" vertical="top" wrapText="1"/>
    </xf>
    <xf borderId="3" fillId="0" fontId="11" numFmtId="0" xfId="0" applyAlignment="1" applyBorder="1" applyFont="1">
      <alignment shrinkToFit="0" vertical="top" wrapText="1"/>
    </xf>
    <xf borderId="4" fillId="2" fontId="10" numFmtId="164" xfId="0" applyAlignment="1" applyBorder="1" applyFont="1" applyNumberFormat="1">
      <alignment horizontal="center" readingOrder="0" shrinkToFit="0" vertical="top" wrapText="1"/>
    </xf>
    <xf borderId="5" fillId="2" fontId="10" numFmtId="164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6" fillId="7" fontId="12" numFmtId="49" xfId="0" applyAlignment="1" applyBorder="1" applyFill="1" applyFont="1" applyNumberFormat="1">
      <alignment horizontal="left" readingOrder="0" shrinkToFit="0" vertical="top" wrapText="1"/>
    </xf>
    <xf borderId="7" fillId="0" fontId="11" numFmtId="0" xfId="0" applyAlignment="1" applyBorder="1" applyFont="1">
      <alignment shrinkToFit="0" vertical="top" wrapText="1"/>
    </xf>
    <xf borderId="8" fillId="4" fontId="3" numFmtId="0" xfId="0" applyAlignment="1" applyBorder="1" applyFont="1">
      <alignment horizontal="center" readingOrder="0" shrinkToFit="0" vertical="top" wrapText="1"/>
    </xf>
    <xf borderId="9" fillId="7" fontId="12" numFmtId="49" xfId="0" applyAlignment="1" applyBorder="1" applyFont="1" applyNumberFormat="1">
      <alignment horizontal="left" readingOrder="0" shrinkToFit="0" vertical="top" wrapText="1"/>
    </xf>
    <xf borderId="10" fillId="0" fontId="11" numFmtId="0" xfId="0" applyAlignment="1" applyBorder="1" applyFont="1">
      <alignment shrinkToFit="0" vertical="top" wrapText="1"/>
    </xf>
    <xf borderId="11" fillId="4" fontId="4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center" shrinkToFit="0" vertical="top" wrapText="1"/>
    </xf>
    <xf borderId="9" fillId="7" fontId="12" numFmtId="49" xfId="0" applyAlignment="1" applyBorder="1" applyFont="1" applyNumberFormat="1">
      <alignment horizontal="left" shrinkToFit="0" vertical="top" wrapText="1"/>
    </xf>
    <xf borderId="11" fillId="4" fontId="3" numFmtId="0" xfId="0" applyAlignment="1" applyBorder="1" applyFont="1">
      <alignment horizontal="center" readingOrder="0" shrinkToFit="0" vertical="top" wrapText="1"/>
    </xf>
    <xf borderId="0" fillId="0" fontId="13" numFmtId="0" xfId="0" applyAlignment="1" applyFont="1">
      <alignment horizontal="center" shrinkToFit="0" vertical="top" wrapText="1"/>
    </xf>
    <xf borderId="12" fillId="4" fontId="3" numFmtId="0" xfId="0" applyAlignment="1" applyBorder="1" applyFont="1">
      <alignment horizontal="center" readingOrder="0" shrinkToFit="0" vertical="top" wrapText="1"/>
    </xf>
    <xf borderId="9" fillId="7" fontId="12" numFmtId="49" xfId="0" applyAlignment="1" applyBorder="1" applyFont="1" applyNumberFormat="1">
      <alignment horizontal="left" shrinkToFit="0" vertical="center" wrapText="1"/>
    </xf>
    <xf borderId="11" fillId="8" fontId="14" numFmtId="165" xfId="0" applyAlignment="1" applyBorder="1" applyFill="1" applyFont="1" applyNumberFormat="1">
      <alignment horizontal="center" shrinkToFit="0" vertical="center" wrapText="1"/>
    </xf>
    <xf borderId="12" fillId="8" fontId="14" numFmtId="165" xfId="0" applyAlignment="1" applyBorder="1" applyFont="1" applyNumberFormat="1">
      <alignment horizontal="center" shrinkToFit="0" vertical="center" wrapText="1"/>
    </xf>
    <xf borderId="11" fillId="8" fontId="2" numFmtId="165" xfId="0" applyAlignment="1" applyBorder="1" applyFont="1" applyNumberFormat="1">
      <alignment horizontal="center" shrinkToFit="0" vertical="top" wrapText="1"/>
    </xf>
    <xf borderId="12" fillId="8" fontId="2" numFmtId="165" xfId="0" applyAlignment="1" applyBorder="1" applyFont="1" applyNumberFormat="1">
      <alignment horizontal="center" shrinkToFit="0" vertical="top" wrapText="1"/>
    </xf>
    <xf borderId="0" fillId="0" fontId="14" numFmtId="165" xfId="0" applyAlignment="1" applyFont="1" applyNumberFormat="1">
      <alignment horizontal="center" shrinkToFit="0" vertical="top" wrapText="1"/>
    </xf>
    <xf borderId="13" fillId="7" fontId="15" numFmtId="49" xfId="0" applyAlignment="1" applyBorder="1" applyFont="1" applyNumberFormat="1">
      <alignment horizontal="left" shrinkToFit="0" vertical="top" wrapText="1"/>
    </xf>
    <xf borderId="14" fillId="0" fontId="11" numFmtId="0" xfId="0" applyAlignment="1" applyBorder="1" applyFont="1">
      <alignment shrinkToFit="0" vertical="top" wrapText="1"/>
    </xf>
    <xf borderId="15" fillId="8" fontId="2" numFmtId="165" xfId="0" applyAlignment="1" applyBorder="1" applyFont="1" applyNumberFormat="1">
      <alignment horizontal="center" shrinkToFit="0" vertical="top" wrapText="1"/>
    </xf>
    <xf borderId="16" fillId="8" fontId="2" numFmtId="165" xfId="0" applyAlignment="1" applyBorder="1" applyFont="1" applyNumberFormat="1">
      <alignment horizontal="center" shrinkToFit="0" vertical="top" wrapText="1"/>
    </xf>
    <xf borderId="0" fillId="0" fontId="2" numFmtId="165" xfId="0" applyAlignment="1" applyFont="1" applyNumberFormat="1">
      <alignment horizontal="center" shrinkToFit="0" vertical="top" wrapText="1"/>
    </xf>
    <xf borderId="0" fillId="9" fontId="16" numFmtId="0" xfId="0" applyAlignment="1" applyFill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top" wrapText="1"/>
    </xf>
    <xf borderId="0" fillId="0" fontId="17" numFmtId="0" xfId="0" applyAlignment="1" applyFont="1">
      <alignment horizontal="center" readingOrder="0" shrinkToFit="0" vertical="top" wrapText="1"/>
    </xf>
    <xf borderId="0" fillId="2" fontId="18" numFmtId="166" xfId="0" applyAlignment="1" applyFont="1" applyNumberFormat="1">
      <alignment horizontal="center" readingOrder="0" shrinkToFit="0" vertical="center" wrapText="1"/>
    </xf>
    <xf borderId="0" fillId="2" fontId="19" numFmtId="166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left" readingOrder="0" shrinkToFit="0" vertical="top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6" numFmtId="2" xfId="0" applyAlignment="1" applyFont="1" applyNumberFormat="1">
      <alignment horizontal="center" readingOrder="0" shrinkToFit="0" vertical="center" wrapText="1"/>
    </xf>
    <xf borderId="17" fillId="2" fontId="22" numFmtId="0" xfId="0" applyAlignment="1" applyBorder="1" applyFont="1">
      <alignment horizontal="left" readingOrder="0" shrinkToFit="0" vertical="top" wrapText="1"/>
    </xf>
    <xf borderId="18" fillId="0" fontId="11" numFmtId="0" xfId="0" applyAlignment="1" applyBorder="1" applyFont="1">
      <alignment shrinkToFit="0" vertical="top" wrapText="1"/>
    </xf>
    <xf borderId="17" fillId="2" fontId="22" numFmtId="0" xfId="0" applyAlignment="1" applyBorder="1" applyFont="1">
      <alignment horizontal="center" readingOrder="0" shrinkToFit="0" vertical="center" wrapText="1"/>
    </xf>
    <xf borderId="19" fillId="2" fontId="22" numFmtId="0" xfId="0" applyAlignment="1" applyBorder="1" applyFont="1">
      <alignment horizontal="center" readingOrder="0" shrinkToFit="0" vertical="center" wrapText="1"/>
    </xf>
    <xf borderId="17" fillId="10" fontId="22" numFmtId="0" xfId="0" applyAlignment="1" applyBorder="1" applyFill="1" applyFont="1">
      <alignment horizontal="left" readingOrder="0" shrinkToFit="0" vertical="center" wrapText="1"/>
    </xf>
    <xf borderId="17" fillId="10" fontId="23" numFmtId="49" xfId="0" applyAlignment="1" applyBorder="1" applyFont="1" applyNumberFormat="1">
      <alignment horizontal="center" readingOrder="0" shrinkToFit="0" vertical="center" wrapText="1"/>
    </xf>
    <xf borderId="19" fillId="10" fontId="23" numFmtId="1" xfId="0" applyAlignment="1" applyBorder="1" applyFont="1" applyNumberFormat="1">
      <alignment horizontal="center" readingOrder="0" shrinkToFit="0" vertical="center" wrapText="1"/>
    </xf>
    <xf borderId="19" fillId="10" fontId="23" numFmtId="2" xfId="0" applyAlignment="1" applyBorder="1" applyFont="1" applyNumberFormat="1">
      <alignment horizontal="center" readingOrder="0" shrinkToFit="0" vertical="center" wrapText="1"/>
    </xf>
    <xf borderId="2" fillId="2" fontId="22" numFmtId="49" xfId="0" applyAlignment="1" applyBorder="1" applyFont="1" applyNumberFormat="1">
      <alignment horizontal="center" readingOrder="0" shrinkToFit="0" vertical="center" wrapText="1"/>
    </xf>
    <xf borderId="20" fillId="0" fontId="11" numFmtId="0" xfId="0" applyAlignment="1" applyBorder="1" applyFont="1">
      <alignment shrinkToFit="0" vertical="top" wrapText="1"/>
    </xf>
    <xf borderId="2" fillId="8" fontId="24" numFmtId="166" xfId="0" applyAlignment="1" applyBorder="1" applyFont="1" applyNumberFormat="1">
      <alignment horizontal="center" readingOrder="0" shrinkToFit="0" vertical="center" wrapText="1"/>
    </xf>
    <xf borderId="0" fillId="11" fontId="25" numFmtId="0" xfId="0" applyAlignment="1" applyFill="1" applyFont="1">
      <alignment horizontal="center" readingOrder="0" shrinkToFit="0" vertical="center" wrapText="1"/>
    </xf>
    <xf borderId="2" fillId="2" fontId="22" numFmtId="0" xfId="0" applyAlignment="1" applyBorder="1" applyFont="1">
      <alignment horizontal="center" readingOrder="0" shrinkToFit="0" vertical="center" wrapText="1"/>
    </xf>
    <xf borderId="21" fillId="0" fontId="11" numFmtId="0" xfId="0" applyAlignment="1" applyBorder="1" applyFont="1">
      <alignment shrinkToFit="0" vertical="top" wrapText="1"/>
    </xf>
    <xf borderId="22" fillId="0" fontId="3" numFmtId="167" xfId="0" applyAlignment="1" applyBorder="1" applyFont="1" applyNumberFormat="1">
      <alignment horizontal="center" shrinkToFit="0" vertical="center" wrapText="1"/>
    </xf>
    <xf borderId="23" fillId="2" fontId="22" numFmtId="0" xfId="0" applyAlignment="1" applyBorder="1" applyFont="1">
      <alignment horizontal="center" readingOrder="0" shrinkToFit="0" vertical="center" wrapText="1"/>
    </xf>
    <xf borderId="24" fillId="0" fontId="11" numFmtId="0" xfId="0" applyAlignment="1" applyBorder="1" applyFont="1">
      <alignment shrinkToFit="0" vertical="top" wrapText="1"/>
    </xf>
    <xf borderId="24" fillId="2" fontId="22" numFmtId="0" xfId="0" applyAlignment="1" applyBorder="1" applyFont="1">
      <alignment horizontal="center" readingOrder="0" shrinkToFit="0" vertical="top" wrapText="1"/>
    </xf>
    <xf borderId="25" fillId="2" fontId="22" numFmtId="0" xfId="0" applyAlignment="1" applyBorder="1" applyFont="1">
      <alignment horizontal="center" readingOrder="0" shrinkToFit="0" vertical="top" wrapText="1"/>
    </xf>
    <xf borderId="0" fillId="0" fontId="22" numFmtId="0" xfId="0" applyAlignment="1" applyFont="1">
      <alignment horizontal="center" readingOrder="0" shrinkToFit="0" vertical="top" wrapText="1"/>
    </xf>
    <xf borderId="26" fillId="0" fontId="11" numFmtId="0" xfId="0" applyAlignment="1" applyBorder="1" applyFont="1">
      <alignment shrinkToFit="0" vertical="top" wrapText="1"/>
    </xf>
    <xf borderId="27" fillId="0" fontId="11" numFmtId="0" xfId="0" applyAlignment="1" applyBorder="1" applyFont="1">
      <alignment shrinkToFit="0" vertical="top" wrapText="1"/>
    </xf>
    <xf borderId="27" fillId="0" fontId="3" numFmtId="167" xfId="0" applyAlignment="1" applyBorder="1" applyFont="1" applyNumberFormat="1">
      <alignment horizontal="center" shrinkToFit="0" vertical="center" wrapText="1"/>
    </xf>
    <xf borderId="28" fillId="0" fontId="3" numFmtId="167" xfId="0" applyAlignment="1" applyBorder="1" applyFont="1" applyNumberFormat="1">
      <alignment horizontal="center" shrinkToFit="0" vertical="center" wrapText="1"/>
    </xf>
    <xf borderId="0" fillId="0" fontId="26" numFmtId="0" xfId="0" applyAlignment="1" applyFont="1">
      <alignment horizontal="left" readingOrder="0" shrinkToFit="0" vertical="center" wrapText="0"/>
    </xf>
    <xf borderId="23" fillId="2" fontId="27" numFmtId="49" xfId="0" applyAlignment="1" applyBorder="1" applyFont="1" applyNumberFormat="1">
      <alignment horizontal="center" readingOrder="0" shrinkToFit="0" vertical="top" wrapText="1"/>
    </xf>
    <xf borderId="24" fillId="2" fontId="27" numFmtId="0" xfId="0" applyAlignment="1" applyBorder="1" applyFont="1">
      <alignment horizontal="center" readingOrder="0" shrinkToFit="0" vertical="top" wrapText="1"/>
    </xf>
    <xf borderId="25" fillId="2" fontId="27" numFmtId="0" xfId="0" applyAlignment="1" applyBorder="1" applyFont="1">
      <alignment horizontal="center" readingOrder="0" shrinkToFit="0" vertical="top" wrapText="1"/>
    </xf>
    <xf borderId="23" fillId="12" fontId="8" numFmtId="49" xfId="0" applyAlignment="1" applyBorder="1" applyFill="1" applyFont="1" applyNumberFormat="1">
      <alignment horizontal="center" shrinkToFit="0" vertical="center" wrapText="1"/>
    </xf>
    <xf borderId="23" fillId="0" fontId="3" numFmtId="167" xfId="0" applyAlignment="1" applyBorder="1" applyFont="1" applyNumberFormat="1">
      <alignment horizontal="center" shrinkToFit="0" vertical="top" wrapText="1"/>
    </xf>
    <xf borderId="24" fillId="0" fontId="3" numFmtId="167" xfId="0" applyAlignment="1" applyBorder="1" applyFont="1" applyNumberFormat="1">
      <alignment horizontal="center" shrinkToFit="0" vertical="top" wrapText="1"/>
    </xf>
    <xf borderId="25" fillId="0" fontId="3" numFmtId="167" xfId="0" applyAlignment="1" applyBorder="1" applyFont="1" applyNumberFormat="1">
      <alignment horizontal="center" shrinkToFit="0" vertical="top" wrapText="1"/>
    </xf>
    <xf borderId="29" fillId="12" fontId="8" numFmtId="49" xfId="0" applyAlignment="1" applyBorder="1" applyFont="1" applyNumberFormat="1">
      <alignment horizontal="center" shrinkToFit="0" vertical="center" wrapText="1"/>
    </xf>
    <xf borderId="29" fillId="0" fontId="3" numFmtId="167" xfId="0" applyAlignment="1" applyBorder="1" applyFont="1" applyNumberFormat="1">
      <alignment horizontal="center" shrinkToFit="0" vertical="top" wrapText="1"/>
    </xf>
    <xf borderId="0" fillId="0" fontId="3" numFmtId="167" xfId="0" applyAlignment="1" applyFont="1" applyNumberFormat="1">
      <alignment horizontal="center" shrinkToFit="0" vertical="top" wrapText="1"/>
    </xf>
    <xf borderId="30" fillId="0" fontId="3" numFmtId="167" xfId="0" applyAlignment="1" applyBorder="1" applyFont="1" applyNumberFormat="1">
      <alignment horizontal="center" shrinkToFit="0" vertical="top" wrapText="1"/>
    </xf>
    <xf borderId="26" fillId="12" fontId="8" numFmtId="49" xfId="0" applyAlignment="1" applyBorder="1" applyFont="1" applyNumberFormat="1">
      <alignment horizontal="center" shrinkToFit="0" vertical="center" wrapText="1"/>
    </xf>
    <xf borderId="26" fillId="0" fontId="3" numFmtId="167" xfId="0" applyAlignment="1" applyBorder="1" applyFont="1" applyNumberFormat="1">
      <alignment horizontal="center" shrinkToFit="0" vertical="top" wrapText="1"/>
    </xf>
    <xf borderId="27" fillId="0" fontId="3" numFmtId="167" xfId="0" applyAlignment="1" applyBorder="1" applyFont="1" applyNumberFormat="1">
      <alignment horizontal="center" shrinkToFit="0" vertical="top" wrapText="1"/>
    </xf>
    <xf borderId="28" fillId="0" fontId="3" numFmtId="167" xfId="0" applyAlignment="1" applyBorder="1" applyFont="1" applyNumberFormat="1">
      <alignment horizontal="center" shrinkToFit="0" vertical="top" wrapText="1"/>
    </xf>
    <xf borderId="0" fillId="12" fontId="8" numFmtId="0" xfId="0" applyAlignment="1" applyFont="1">
      <alignment horizontal="center" shrinkToFit="0" vertical="center" wrapText="1"/>
    </xf>
    <xf borderId="0" fillId="12" fontId="2" numFmtId="166" xfId="0" applyAlignment="1" applyFont="1" applyNumberFormat="1">
      <alignment horizontal="center" shrinkToFit="0" vertical="center" wrapText="1"/>
    </xf>
    <xf borderId="2" fillId="12" fontId="8" numFmtId="49" xfId="0" applyAlignment="1" applyBorder="1" applyFont="1" applyNumberFormat="1">
      <alignment horizontal="center" shrinkToFit="0" vertical="center" wrapText="1"/>
    </xf>
    <xf borderId="2" fillId="0" fontId="3" numFmtId="167" xfId="0" applyAlignment="1" applyBorder="1" applyFont="1" applyNumberFormat="1">
      <alignment horizontal="center" shrinkToFit="0" vertical="top" wrapText="1"/>
    </xf>
    <xf borderId="21" fillId="0" fontId="3" numFmtId="167" xfId="0" applyAlignment="1" applyBorder="1" applyFont="1" applyNumberFormat="1">
      <alignment horizontal="center" shrinkToFit="0" vertical="top" wrapText="1"/>
    </xf>
    <xf borderId="20" fillId="0" fontId="3" numFmtId="167" xfId="0" applyAlignment="1" applyBorder="1" applyFont="1" applyNumberFormat="1">
      <alignment horizontal="center" shrinkToFit="0" vertical="top" wrapText="1"/>
    </xf>
    <xf borderId="0" fillId="0" fontId="23" numFmtId="0" xfId="0" applyAlignment="1" applyFont="1">
      <alignment readingOrder="0" shrinkToFit="0" vertical="top" wrapText="1"/>
    </xf>
    <xf borderId="0" fillId="0" fontId="23" numFmtId="9" xfId="0" applyAlignment="1" applyFont="1" applyNumberFormat="1">
      <alignment readingOrder="0" shrinkToFit="0" vertical="top" wrapText="1"/>
    </xf>
    <xf borderId="23" fillId="2" fontId="28" numFmtId="0" xfId="0" applyAlignment="1" applyBorder="1" applyFont="1">
      <alignment horizontal="center" readingOrder="0" shrinkToFit="0" vertical="center" wrapText="1"/>
    </xf>
    <xf borderId="25" fillId="0" fontId="11" numFmtId="0" xfId="0" applyAlignment="1" applyBorder="1" applyFont="1">
      <alignment shrinkToFit="0" vertical="top" wrapText="1"/>
    </xf>
    <xf borderId="27" fillId="2" fontId="29" numFmtId="49" xfId="0" applyAlignment="1" applyBorder="1" applyFont="1" applyNumberFormat="1">
      <alignment horizontal="center" readingOrder="0" shrinkToFit="0" vertical="center" wrapText="1"/>
    </xf>
    <xf borderId="29" fillId="0" fontId="11" numFmtId="0" xfId="0" applyAlignment="1" applyBorder="1" applyFont="1">
      <alignment shrinkToFit="0" vertical="top" wrapText="1"/>
    </xf>
    <xf borderId="30" fillId="0" fontId="11" numFmtId="0" xfId="0" applyAlignment="1" applyBorder="1" applyFont="1">
      <alignment shrinkToFit="0" vertical="top" wrapText="1"/>
    </xf>
    <xf borderId="0" fillId="0" fontId="30" numFmtId="0" xfId="0" applyAlignment="1" applyFont="1">
      <alignment horizontal="center" readingOrder="0" shrinkToFit="0" vertical="top" wrapText="1"/>
    </xf>
    <xf borderId="28" fillId="0" fontId="11" numFmtId="0" xfId="0" applyAlignment="1" applyBorder="1" applyFont="1">
      <alignment shrinkToFit="0" vertical="top" wrapText="1"/>
    </xf>
    <xf borderId="29" fillId="2" fontId="29" numFmtId="49" xfId="0" applyAlignment="1" applyBorder="1" applyFont="1" applyNumberFormat="1">
      <alignment horizontal="center" shrinkToFit="0" vertical="center" wrapText="1"/>
    </xf>
    <xf borderId="0" fillId="2" fontId="29" numFmtId="49" xfId="0" applyAlignment="1" applyFont="1" applyNumberFormat="1">
      <alignment horizontal="center" shrinkToFit="0" vertical="center" wrapText="1"/>
    </xf>
    <xf borderId="30" fillId="2" fontId="29" numFmtId="49" xfId="0" applyAlignment="1" applyBorder="1" applyFont="1" applyNumberFormat="1">
      <alignment horizontal="center" shrinkToFit="0" vertical="center" wrapText="1"/>
    </xf>
    <xf borderId="27" fillId="2" fontId="29" numFmtId="49" xfId="0" applyAlignment="1" applyBorder="1" applyFont="1" applyNumberFormat="1">
      <alignment horizontal="center" shrinkToFit="0" vertical="center" wrapText="1"/>
    </xf>
    <xf borderId="31" fillId="8" fontId="8" numFmtId="49" xfId="0" applyAlignment="1" applyBorder="1" applyFont="1" applyNumberFormat="1">
      <alignment horizontal="center" shrinkToFit="0" vertical="center" wrapText="1"/>
    </xf>
    <xf borderId="30" fillId="8" fontId="31" numFmtId="0" xfId="0" applyAlignment="1" applyBorder="1" applyFont="1">
      <alignment horizontal="center" shrinkToFit="0" vertical="center" wrapText="1"/>
    </xf>
    <xf borderId="31" fillId="8" fontId="32" numFmtId="49" xfId="0" applyAlignment="1" applyBorder="1" applyFont="1" applyNumberFormat="1">
      <alignment horizontal="center" readingOrder="0" shrinkToFit="0" vertical="center" wrapText="1"/>
    </xf>
    <xf borderId="32" fillId="4" fontId="2" numFmtId="0" xfId="0" applyAlignment="1" applyBorder="1" applyFont="1">
      <alignment horizontal="center" readingOrder="0" shrinkToFit="0" vertical="center" wrapText="1"/>
    </xf>
    <xf borderId="30" fillId="4" fontId="2" numFmtId="0" xfId="0" applyAlignment="1" applyBorder="1" applyFont="1">
      <alignment horizontal="center" readingOrder="0" shrinkToFit="0" vertical="center" wrapText="1"/>
    </xf>
    <xf borderId="31" fillId="8" fontId="2" numFmtId="0" xfId="0" applyAlignment="1" applyBorder="1" applyFont="1">
      <alignment horizontal="center" readingOrder="0" shrinkToFit="0" vertical="center" wrapText="1"/>
    </xf>
    <xf borderId="31" fillId="8" fontId="3" numFmtId="1" xfId="0" applyAlignment="1" applyBorder="1" applyFont="1" applyNumberFormat="1">
      <alignment horizontal="center" readingOrder="0" shrinkToFit="0" vertical="center" wrapText="1"/>
    </xf>
    <xf borderId="31" fillId="0" fontId="11" numFmtId="0" xfId="0" applyAlignment="1" applyBorder="1" applyFont="1">
      <alignment shrinkToFit="0" vertical="top" wrapText="1"/>
    </xf>
    <xf borderId="32" fillId="4" fontId="2" numFmtId="0" xfId="0" applyAlignment="1" applyBorder="1" applyFont="1">
      <alignment horizontal="center" shrinkToFit="0" vertical="center" wrapText="1"/>
    </xf>
    <xf borderId="30" fillId="4" fontId="2" numFmtId="0" xfId="0" applyAlignment="1" applyBorder="1" applyFont="1">
      <alignment horizontal="center" shrinkToFit="0" vertical="center" wrapText="1"/>
    </xf>
    <xf borderId="32" fillId="4" fontId="33" numFmtId="0" xfId="0" applyAlignment="1" applyBorder="1" applyFont="1">
      <alignment horizontal="center" readingOrder="0" shrinkToFit="0" vertical="center" wrapText="1"/>
    </xf>
    <xf borderId="30" fillId="4" fontId="33" numFmtId="0" xfId="0" applyAlignment="1" applyBorder="1" applyFont="1">
      <alignment horizontal="center" readingOrder="0" shrinkToFit="0" vertical="center" wrapText="1"/>
    </xf>
    <xf borderId="31" fillId="8" fontId="31" numFmtId="49" xfId="0" applyAlignment="1" applyBorder="1" applyFont="1" applyNumberFormat="1">
      <alignment horizontal="center" readingOrder="0" shrinkToFit="0" vertical="center" wrapText="1"/>
    </xf>
    <xf borderId="33" fillId="8" fontId="8" numFmtId="49" xfId="0" applyAlignment="1" applyBorder="1" applyFont="1" applyNumberFormat="1">
      <alignment horizontal="center" shrinkToFit="0" vertical="center" wrapText="1"/>
    </xf>
    <xf borderId="25" fillId="8" fontId="31" numFmtId="0" xfId="0" applyAlignment="1" applyBorder="1" applyFont="1">
      <alignment horizontal="center" shrinkToFit="0" vertical="center" wrapText="1"/>
    </xf>
    <xf borderId="33" fillId="0" fontId="31" numFmtId="49" xfId="0" applyAlignment="1" applyBorder="1" applyFont="1" applyNumberFormat="1">
      <alignment horizontal="center" readingOrder="0" shrinkToFit="0" vertical="center" wrapText="1"/>
    </xf>
    <xf borderId="34" fillId="4" fontId="2" numFmtId="0" xfId="0" applyAlignment="1" applyBorder="1" applyFont="1">
      <alignment horizontal="center" shrinkToFit="0" vertical="center" wrapText="1"/>
    </xf>
    <xf borderId="25" fillId="4" fontId="2" numFmtId="0" xfId="0" applyAlignment="1" applyBorder="1" applyFont="1">
      <alignment horizontal="center" shrinkToFit="0" vertical="center" wrapText="1"/>
    </xf>
    <xf borderId="33" fillId="8" fontId="2" numFmtId="0" xfId="0" applyAlignment="1" applyBorder="1" applyFont="1">
      <alignment horizontal="center" readingOrder="0" shrinkToFit="0" vertical="center" wrapText="1"/>
    </xf>
    <xf borderId="34" fillId="4" fontId="33" numFmtId="0" xfId="0" applyAlignment="1" applyBorder="1" applyFont="1">
      <alignment horizontal="center" readingOrder="0" shrinkToFit="0" vertical="center" wrapText="1"/>
    </xf>
    <xf borderId="25" fillId="4" fontId="2" numFmtId="0" xfId="0" applyAlignment="1" applyBorder="1" applyFont="1">
      <alignment horizontal="center" readingOrder="0" shrinkToFit="0" vertical="center" wrapText="1"/>
    </xf>
    <xf borderId="33" fillId="8" fontId="3" numFmtId="1" xfId="0" applyAlignment="1" applyBorder="1" applyFont="1" applyNumberFormat="1">
      <alignment horizontal="center" readingOrder="0" shrinkToFit="0" vertical="center" wrapText="1"/>
    </xf>
    <xf borderId="35" fillId="0" fontId="11" numFmtId="0" xfId="0" applyAlignment="1" applyBorder="1" applyFont="1">
      <alignment shrinkToFit="0" vertical="top" wrapText="1"/>
    </xf>
    <xf borderId="28" fillId="8" fontId="31" numFmtId="0" xfId="0" applyAlignment="1" applyBorder="1" applyFont="1">
      <alignment horizontal="center" shrinkToFit="0" vertical="center" wrapText="1"/>
    </xf>
    <xf borderId="35" fillId="8" fontId="31" numFmtId="49" xfId="0" applyAlignment="1" applyBorder="1" applyFont="1" applyNumberFormat="1">
      <alignment horizontal="center" readingOrder="0" shrinkToFit="0" vertical="center" wrapText="1"/>
    </xf>
    <xf borderId="36" fillId="4" fontId="2" numFmtId="0" xfId="0" applyAlignment="1" applyBorder="1" applyFont="1">
      <alignment horizontal="center" shrinkToFit="0" vertical="center" wrapText="1"/>
    </xf>
    <xf borderId="28" fillId="4" fontId="2" numFmtId="0" xfId="0" applyAlignment="1" applyBorder="1" applyFont="1">
      <alignment horizontal="center" shrinkToFit="0" vertical="center" wrapText="1"/>
    </xf>
    <xf borderId="35" fillId="8" fontId="2" numFmtId="0" xfId="0" applyAlignment="1" applyBorder="1" applyFont="1">
      <alignment horizontal="center" readingOrder="0" shrinkToFit="0" vertical="center" wrapText="1"/>
    </xf>
    <xf borderId="36" fillId="4" fontId="33" numFmtId="0" xfId="0" applyAlignment="1" applyBorder="1" applyFont="1">
      <alignment horizontal="center" readingOrder="0" shrinkToFit="0" vertical="center" wrapText="1"/>
    </xf>
    <xf borderId="28" fillId="4" fontId="33" numFmtId="0" xfId="0" applyAlignment="1" applyBorder="1" applyFont="1">
      <alignment horizontal="center" readingOrder="0" shrinkToFit="0" vertical="center" wrapText="1"/>
    </xf>
    <xf borderId="35" fillId="8" fontId="3" numFmtId="1" xfId="0" applyAlignment="1" applyBorder="1" applyFont="1" applyNumberFormat="1">
      <alignment horizontal="center" readingOrder="0" shrinkToFit="0" vertical="center" wrapText="1"/>
    </xf>
    <xf borderId="31" fillId="0" fontId="31" numFmtId="49" xfId="0" applyAlignment="1" applyBorder="1" applyFont="1" applyNumberFormat="1">
      <alignment horizontal="center" readingOrder="0" shrinkToFit="0" vertical="center" wrapText="1"/>
    </xf>
    <xf borderId="37" fillId="0" fontId="34" numFmtId="49" xfId="0" applyAlignment="1" applyBorder="1" applyFont="1" applyNumberFormat="1">
      <alignment horizontal="center" shrinkToFit="0" vertical="center" wrapText="1"/>
    </xf>
    <xf borderId="38" fillId="4" fontId="35" numFmtId="0" xfId="0" applyAlignment="1" applyBorder="1" applyFont="1">
      <alignment horizontal="center" readingOrder="0" shrinkToFit="0" vertical="top" wrapText="1"/>
    </xf>
    <xf borderId="39" fillId="0" fontId="11" numFmtId="0" xfId="0" applyAlignment="1" applyBorder="1" applyFont="1">
      <alignment shrinkToFit="0" vertical="top" wrapText="1"/>
    </xf>
    <xf borderId="0" fillId="13" fontId="6" numFmtId="0" xfId="0" applyAlignment="1" applyFill="1" applyFont="1">
      <alignment readingOrder="0" shrinkToFit="0" vertical="top" wrapText="1"/>
    </xf>
    <xf borderId="40" fillId="0" fontId="34" numFmtId="49" xfId="0" applyAlignment="1" applyBorder="1" applyFont="1" applyNumberFormat="1">
      <alignment horizontal="center" shrinkToFit="0" vertical="center" wrapText="1"/>
    </xf>
    <xf borderId="41" fillId="14" fontId="16" numFmtId="165" xfId="0" applyAlignment="1" applyBorder="1" applyFill="1" applyFont="1" applyNumberFormat="1">
      <alignment horizontal="center" shrinkToFit="0" vertical="center" wrapText="1"/>
    </xf>
    <xf borderId="42" fillId="0" fontId="34" numFmtId="49" xfId="0" applyAlignment="1" applyBorder="1" applyFont="1" applyNumberFormat="1">
      <alignment horizontal="center" shrinkToFit="0" vertical="center" wrapText="1"/>
    </xf>
    <xf borderId="43" fillId="14" fontId="16" numFmtId="1" xfId="0" applyAlignment="1" applyBorder="1" applyFont="1" applyNumberFormat="1">
      <alignment horizontal="center" readingOrder="0" shrinkToFit="0" vertical="center" wrapText="1"/>
    </xf>
    <xf borderId="0" fillId="0" fontId="36" numFmtId="0" xfId="0" applyAlignment="1" applyFont="1">
      <alignment horizontal="left" shrinkToFit="0" vertical="center" wrapText="0"/>
    </xf>
    <xf borderId="0" fillId="0" fontId="37" numFmtId="0" xfId="0" applyAlignment="1" applyFont="1">
      <alignment shrinkToFit="0" vertical="top" wrapText="1"/>
    </xf>
    <xf borderId="0" fillId="2" fontId="22" numFmtId="0" xfId="0" applyAlignment="1" applyFont="1">
      <alignment horizontal="center" readingOrder="0" shrinkToFit="0" vertical="top" wrapText="1"/>
    </xf>
    <xf borderId="0" fillId="8" fontId="22" numFmtId="0" xfId="0" applyAlignment="1" applyFont="1">
      <alignment horizontal="center" readingOrder="0" shrinkToFit="0" vertical="top" wrapText="1"/>
    </xf>
    <xf borderId="0" fillId="2" fontId="23" numFmtId="0" xfId="0" applyAlignment="1" applyFont="1">
      <alignment horizontal="center" readingOrder="0" shrinkToFit="0" vertical="center" wrapText="1"/>
    </xf>
    <xf borderId="0" fillId="8" fontId="23" numFmtId="0" xfId="0" applyAlignment="1" applyFont="1">
      <alignment horizontal="center" readingOrder="0" shrinkToFit="0" vertical="center" wrapText="1"/>
    </xf>
    <xf borderId="23" fillId="0" fontId="26" numFmtId="0" xfId="0" applyAlignment="1" applyBorder="1" applyFont="1">
      <alignment horizontal="left" readingOrder="0" shrinkToFit="0" vertical="center" wrapText="0"/>
    </xf>
    <xf borderId="0" fillId="0" fontId="23" numFmtId="0" xfId="0" applyAlignment="1" applyFont="1">
      <alignment shrinkToFit="0" vertical="top" wrapText="1"/>
    </xf>
    <xf borderId="0" fillId="2" fontId="22" numFmtId="0" xfId="0" applyAlignment="1" applyFont="1">
      <alignment horizontal="center" readingOrder="0" shrinkToFit="0" vertical="center" wrapText="1"/>
    </xf>
    <xf borderId="44" fillId="4" fontId="38" numFmtId="0" xfId="0" applyAlignment="1" applyBorder="1" applyFont="1">
      <alignment horizontal="center" readingOrder="0" shrinkToFit="0" vertical="top" wrapText="1"/>
    </xf>
    <xf borderId="44" fillId="0" fontId="6" numFmtId="0" xfId="0" applyAlignment="1" applyBorder="1" applyFont="1">
      <alignment horizontal="center" readingOrder="0" shrinkToFit="0" vertical="top" wrapText="1"/>
    </xf>
    <xf borderId="44" fillId="4" fontId="39" numFmtId="0" xfId="0" applyAlignment="1" applyBorder="1" applyFont="1">
      <alignment horizontal="center" readingOrder="0" shrinkToFit="0" vertical="top" wrapText="1"/>
    </xf>
    <xf borderId="0" fillId="8" fontId="6" numFmtId="0" xfId="0" applyAlignment="1" applyFont="1">
      <alignment horizontal="center" readingOrder="0" shrinkToFit="0" vertical="top" wrapText="1"/>
    </xf>
    <xf borderId="45" fillId="4" fontId="37" numFmtId="164" xfId="0" applyAlignment="1" applyBorder="1" applyFont="1" applyNumberFormat="1">
      <alignment horizontal="center" readingOrder="0" shrinkToFit="0" vertical="top" wrapText="1"/>
    </xf>
    <xf borderId="45" fillId="0" fontId="37" numFmtId="164" xfId="0" applyAlignment="1" applyBorder="1" applyFont="1" applyNumberFormat="1">
      <alignment horizontal="center" readingOrder="0" shrinkToFit="0" vertical="top" wrapText="1"/>
    </xf>
    <xf borderId="0" fillId="8" fontId="37" numFmtId="0" xfId="0" applyAlignment="1" applyFont="1">
      <alignment horizontal="center" readingOrder="0" shrinkToFit="0" vertical="top" wrapText="1"/>
    </xf>
    <xf borderId="23" fillId="2" fontId="27" numFmtId="49" xfId="0" applyAlignment="1" applyBorder="1" applyFont="1" applyNumberFormat="1">
      <alignment horizontal="center" readingOrder="0" shrinkToFit="0" vertical="center" wrapText="1"/>
    </xf>
    <xf borderId="23" fillId="2" fontId="27" numFmtId="0" xfId="0" applyAlignment="1" applyBorder="1" applyFont="1">
      <alignment horizontal="center" readingOrder="0" shrinkToFit="0" vertical="center" wrapText="1"/>
    </xf>
    <xf borderId="24" fillId="2" fontId="27" numFmtId="0" xfId="0" applyAlignment="1" applyBorder="1" applyFont="1">
      <alignment horizontal="center" readingOrder="0" shrinkToFit="0" vertical="center" wrapText="1"/>
    </xf>
    <xf borderId="25" fillId="2" fontId="27" numFmtId="0" xfId="0" applyAlignment="1" applyBorder="1" applyFont="1">
      <alignment horizontal="center" readingOrder="0" shrinkToFit="0" vertical="center" wrapText="1"/>
    </xf>
    <xf borderId="0" fillId="0" fontId="40" numFmtId="0" xfId="0" applyAlignment="1" applyFont="1">
      <alignment horizontal="center" readingOrder="0" shrinkToFit="0" vertical="top" wrapText="1"/>
    </xf>
    <xf borderId="23" fillId="12" fontId="34" numFmtId="49" xfId="0" applyAlignment="1" applyBorder="1" applyFont="1" applyNumberFormat="1">
      <alignment horizontal="center" shrinkToFit="0" vertical="center" wrapText="1"/>
    </xf>
    <xf borderId="45" fillId="4" fontId="6" numFmtId="164" xfId="0" applyAlignment="1" applyBorder="1" applyFont="1" applyNumberFormat="1">
      <alignment horizontal="center" readingOrder="0" shrinkToFit="0" vertical="top" wrapText="1"/>
    </xf>
    <xf borderId="45" fillId="0" fontId="6" numFmtId="164" xfId="0" applyAlignment="1" applyBorder="1" applyFont="1" applyNumberFormat="1">
      <alignment horizontal="center" readingOrder="0" shrinkToFit="0" vertical="top" wrapText="1"/>
    </xf>
    <xf borderId="29" fillId="12" fontId="34" numFmtId="49" xfId="0" applyAlignment="1" applyBorder="1" applyFont="1" applyNumberFormat="1">
      <alignment horizontal="center" shrinkToFit="0" vertical="center" wrapText="1"/>
    </xf>
    <xf borderId="29" fillId="0" fontId="3" numFmtId="167" xfId="0" applyAlignment="1" applyBorder="1" applyFont="1" applyNumberFormat="1">
      <alignment horizontal="center" shrinkToFit="0" vertical="center" wrapText="1"/>
    </xf>
    <xf borderId="26" fillId="12" fontId="34" numFmtId="49" xfId="0" applyAlignment="1" applyBorder="1" applyFont="1" applyNumberFormat="1">
      <alignment horizontal="center" shrinkToFit="0" vertical="center" wrapText="1"/>
    </xf>
    <xf borderId="0" fillId="12" fontId="2" numFmtId="0" xfId="0" applyAlignment="1" applyFont="1">
      <alignment horizontal="center" shrinkToFit="0" vertical="center" wrapText="1"/>
    </xf>
    <xf borderId="22" fillId="2" fontId="27" numFmtId="49" xfId="0" applyAlignment="1" applyBorder="1" applyFont="1" applyNumberFormat="1">
      <alignment horizontal="center" readingOrder="0" shrinkToFit="0" vertical="center" wrapText="1"/>
    </xf>
    <xf borderId="2" fillId="2" fontId="27" numFmtId="49" xfId="0" applyAlignment="1" applyBorder="1" applyFont="1" applyNumberFormat="1">
      <alignment horizontal="center" readingOrder="0" shrinkToFit="0" vertical="center" wrapText="1"/>
    </xf>
    <xf borderId="23" fillId="2" fontId="27" numFmtId="49" xfId="0" applyAlignment="1" applyBorder="1" applyFont="1" applyNumberFormat="1">
      <alignment horizontal="center" shrinkToFit="0" vertical="center" wrapText="1"/>
    </xf>
    <xf borderId="33" fillId="2" fontId="27" numFmtId="49" xfId="0" applyAlignment="1" applyBorder="1" applyFont="1" applyNumberFormat="1">
      <alignment horizontal="center" readingOrder="0" shrinkToFit="0" vertical="center" wrapText="1"/>
    </xf>
    <xf borderId="33" fillId="2" fontId="27" numFmtId="49" xfId="0" applyAlignment="1" applyBorder="1" applyFont="1" applyNumberFormat="1">
      <alignment horizontal="center" shrinkToFit="0" vertical="center" wrapText="1"/>
    </xf>
    <xf borderId="46" fillId="2" fontId="27" numFmtId="49" xfId="0" applyAlignment="1" applyBorder="1" applyFont="1" applyNumberFormat="1">
      <alignment horizontal="center" shrinkToFit="0" vertical="center" wrapText="1"/>
    </xf>
    <xf borderId="47" fillId="2" fontId="41" numFmtId="49" xfId="0" applyAlignment="1" applyBorder="1" applyFont="1" applyNumberFormat="1">
      <alignment horizontal="center" readingOrder="0" shrinkToFit="0" vertical="center" wrapText="1"/>
    </xf>
    <xf borderId="48" fillId="12" fontId="3" numFmtId="167" xfId="0" applyAlignment="1" applyBorder="1" applyFont="1" applyNumberFormat="1">
      <alignment horizontal="center" shrinkToFit="0" vertical="top" wrapText="1"/>
    </xf>
    <xf borderId="49" fillId="12" fontId="3" numFmtId="167" xfId="0" applyAlignment="1" applyBorder="1" applyFont="1" applyNumberFormat="1">
      <alignment horizontal="center" shrinkToFit="0" vertical="top" wrapText="1"/>
    </xf>
    <xf borderId="50" fillId="12" fontId="42" numFmtId="166" xfId="0" applyAlignment="1" applyBorder="1" applyFont="1" applyNumberFormat="1">
      <alignment horizontal="center" shrinkToFit="0" vertical="center" wrapText="1"/>
    </xf>
    <xf borderId="51" fillId="12" fontId="43" numFmtId="1" xfId="0" applyAlignment="1" applyBorder="1" applyFont="1" applyNumberFormat="1">
      <alignment horizontal="center" shrinkToFit="0" vertical="center" wrapText="1"/>
    </xf>
    <xf borderId="48" fillId="12" fontId="42" numFmtId="166" xfId="0" applyAlignment="1" applyBorder="1" applyFont="1" applyNumberFormat="1">
      <alignment horizontal="center" shrinkToFit="0" vertical="center" wrapText="1"/>
    </xf>
    <xf borderId="52" fillId="12" fontId="43" numFmtId="1" xfId="0" applyAlignment="1" applyBorder="1" applyFont="1" applyNumberFormat="1">
      <alignment horizontal="center" shrinkToFit="0" vertical="center" wrapText="1"/>
    </xf>
    <xf borderId="0" fillId="0" fontId="42" numFmtId="166" xfId="0" applyAlignment="1" applyFont="1" applyNumberFormat="1">
      <alignment horizontal="center" shrinkToFit="0" vertical="center" wrapText="1"/>
    </xf>
    <xf borderId="33" fillId="2" fontId="44" numFmtId="0" xfId="0" applyAlignment="1" applyBorder="1" applyFont="1">
      <alignment horizontal="center" shrinkToFit="0" vertical="center" wrapText="1"/>
    </xf>
    <xf borderId="53" fillId="15" fontId="45" numFmtId="49" xfId="0" applyAlignment="1" applyBorder="1" applyFill="1" applyFont="1" applyNumberFormat="1">
      <alignment horizontal="center" readingOrder="0" shrinkToFit="0" vertical="center" wrapText="1"/>
    </xf>
    <xf borderId="54" fillId="3" fontId="43" numFmtId="0" xfId="0" applyAlignment="1" applyBorder="1" applyFont="1">
      <alignment horizontal="center" shrinkToFit="0" vertical="center" wrapText="1"/>
    </xf>
    <xf borderId="23" fillId="12" fontId="46" numFmtId="49" xfId="0" applyAlignment="1" applyBorder="1" applyFont="1" applyNumberFormat="1">
      <alignment horizontal="center" shrinkToFit="0" vertical="center" wrapText="1"/>
    </xf>
    <xf borderId="55" fillId="8" fontId="8" numFmtId="9" xfId="0" applyAlignment="1" applyBorder="1" applyFont="1" applyNumberFormat="1">
      <alignment horizontal="center" readingOrder="0" shrinkToFit="0" vertical="top" wrapText="1"/>
    </xf>
    <xf borderId="31" fillId="8" fontId="4" numFmtId="1" xfId="0" applyAlignment="1" applyBorder="1" applyFont="1" applyNumberFormat="1">
      <alignment horizontal="center" shrinkToFit="0" vertical="top" wrapText="1"/>
    </xf>
    <xf borderId="31" fillId="8" fontId="47" numFmtId="1" xfId="0" applyAlignment="1" applyBorder="1" applyFont="1" applyNumberFormat="1">
      <alignment horizontal="center" shrinkToFit="0" vertical="top" wrapText="1"/>
    </xf>
    <xf borderId="31" fillId="8" fontId="2" numFmtId="168" xfId="0" applyAlignment="1" applyBorder="1" applyFont="1" applyNumberFormat="1">
      <alignment horizontal="center" shrinkToFit="0" vertical="top" wrapText="1"/>
    </xf>
    <xf borderId="29" fillId="4" fontId="34" numFmtId="0" xfId="0" applyAlignment="1" applyBorder="1" applyFont="1">
      <alignment horizontal="center" readingOrder="0" shrinkToFit="0" vertical="top" wrapText="1"/>
    </xf>
    <xf borderId="56" fillId="4" fontId="34" numFmtId="0" xfId="0" applyAlignment="1" applyBorder="1" applyFont="1">
      <alignment horizontal="center" readingOrder="0" shrinkToFit="0" vertical="top" wrapText="1"/>
    </xf>
    <xf borderId="57" fillId="4" fontId="34" numFmtId="0" xfId="0" applyAlignment="1" applyBorder="1" applyFont="1">
      <alignment horizontal="center" readingOrder="0" shrinkToFit="0" vertical="top" wrapText="1"/>
    </xf>
    <xf borderId="58" fillId="0" fontId="3" numFmtId="167" xfId="0" applyAlignment="1" applyBorder="1" applyFont="1" applyNumberFormat="1">
      <alignment horizontal="center" shrinkToFit="0" vertical="top" wrapText="1"/>
    </xf>
    <xf borderId="59" fillId="0" fontId="36" numFmtId="166" xfId="0" applyAlignment="1" applyBorder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shrinkToFit="0" vertical="top" wrapText="1"/>
    </xf>
    <xf borderId="60" fillId="2" fontId="48" numFmtId="0" xfId="0" applyAlignment="1" applyBorder="1" applyFont="1">
      <alignment horizontal="center" readingOrder="0" shrinkToFit="0" vertical="center" wrapText="1"/>
    </xf>
    <xf borderId="61" fillId="2" fontId="48" numFmtId="0" xfId="0" applyAlignment="1" applyBorder="1" applyFont="1">
      <alignment horizontal="center" readingOrder="0" shrinkToFit="0" vertical="center" wrapText="1"/>
    </xf>
    <xf borderId="62" fillId="2" fontId="48" numFmtId="0" xfId="0" applyAlignment="1" applyBorder="1" applyFont="1">
      <alignment horizontal="center"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63" fillId="0" fontId="11" numFmtId="0" xfId="0" applyAlignment="1" applyBorder="1" applyFont="1">
      <alignment shrinkToFit="0" vertical="top" wrapText="1"/>
    </xf>
    <xf borderId="64" fillId="0" fontId="11" numFmtId="0" xfId="0" applyAlignment="1" applyBorder="1" applyFont="1">
      <alignment shrinkToFit="0" vertical="top" wrapText="1"/>
    </xf>
    <xf borderId="29" fillId="12" fontId="46" numFmtId="49" xfId="0" applyAlignment="1" applyBorder="1" applyFont="1" applyNumberFormat="1">
      <alignment horizontal="center" shrinkToFit="0" vertical="center" wrapText="1"/>
    </xf>
    <xf borderId="31" fillId="8" fontId="8" numFmtId="9" xfId="0" applyAlignment="1" applyBorder="1" applyFont="1" applyNumberFormat="1">
      <alignment horizontal="center" shrinkToFit="0" vertical="top" wrapText="1"/>
    </xf>
    <xf borderId="65" fillId="0" fontId="3" numFmtId="167" xfId="0" applyAlignment="1" applyBorder="1" applyFont="1" applyNumberFormat="1">
      <alignment horizontal="center" shrinkToFit="0" vertical="top" wrapText="1"/>
    </xf>
    <xf borderId="66" fillId="0" fontId="11" numFmtId="0" xfId="0" applyAlignment="1" applyBorder="1" applyFont="1">
      <alignment shrinkToFit="0" vertical="top" wrapText="1"/>
    </xf>
    <xf borderId="67" fillId="2" fontId="49" numFmtId="0" xfId="0" applyAlignment="1" applyBorder="1" applyFont="1">
      <alignment horizontal="center" readingOrder="0" shrinkToFit="0" vertical="center" wrapText="1"/>
    </xf>
    <xf borderId="68" fillId="8" fontId="50" numFmtId="0" xfId="0" applyAlignment="1" applyBorder="1" applyFont="1">
      <alignment horizontal="center" readingOrder="0" shrinkToFit="0" vertical="center" wrapText="1"/>
    </xf>
    <xf borderId="68" fillId="8" fontId="51" numFmtId="0" xfId="0" applyAlignment="1" applyBorder="1" applyFont="1">
      <alignment horizontal="center" readingOrder="0" shrinkToFit="0" vertical="center" wrapText="1"/>
    </xf>
    <xf borderId="68" fillId="8" fontId="37" numFmtId="0" xfId="0" applyAlignment="1" applyBorder="1" applyFont="1">
      <alignment horizontal="center" shrinkToFit="0" vertical="center" wrapText="1"/>
    </xf>
    <xf borderId="69" fillId="8" fontId="51" numFmtId="9" xfId="0" applyAlignment="1" applyBorder="1" applyFont="1" applyNumberFormat="1">
      <alignment horizontal="center" readingOrder="0" shrinkToFit="0" vertical="center" wrapText="1"/>
    </xf>
    <xf borderId="69" fillId="8" fontId="37" numFmtId="0" xfId="0" applyAlignment="1" applyBorder="1" applyFont="1">
      <alignment horizontal="center" shrinkToFit="0" vertical="center" wrapText="1"/>
    </xf>
    <xf borderId="68" fillId="4" fontId="37" numFmtId="0" xfId="0" applyAlignment="1" applyBorder="1" applyFont="1">
      <alignment horizontal="center" readingOrder="0" shrinkToFit="0" vertical="center" wrapText="1"/>
    </xf>
    <xf borderId="68" fillId="4" fontId="52" numFmtId="0" xfId="0" applyAlignment="1" applyBorder="1" applyFont="1">
      <alignment horizontal="center" readingOrder="0" shrinkToFit="0" vertical="center" wrapText="1"/>
    </xf>
    <xf borderId="70" fillId="4" fontId="37" numFmtId="0" xfId="0" applyAlignment="1" applyBorder="1" applyFont="1">
      <alignment horizontal="center" readingOrder="0" shrinkToFit="0" vertical="center" wrapText="1"/>
    </xf>
    <xf borderId="71" fillId="0" fontId="11" numFmtId="0" xfId="0" applyAlignment="1" applyBorder="1" applyFont="1">
      <alignment shrinkToFit="0" vertical="top" wrapText="1"/>
    </xf>
    <xf borderId="45" fillId="0" fontId="11" numFmtId="0" xfId="0" applyAlignment="1" applyBorder="1" applyFont="1">
      <alignment shrinkToFit="0" vertical="top" wrapText="1"/>
    </xf>
    <xf borderId="19" fillId="8" fontId="51" numFmtId="9" xfId="0" applyAlignment="1" applyBorder="1" applyFont="1" applyNumberFormat="1">
      <alignment horizontal="center" readingOrder="0" shrinkToFit="0" vertical="center" wrapText="1"/>
    </xf>
    <xf borderId="19" fillId="8" fontId="37" numFmtId="0" xfId="0" applyAlignment="1" applyBorder="1" applyFont="1">
      <alignment horizontal="center" shrinkToFit="0" vertical="center" wrapText="1"/>
    </xf>
    <xf borderId="72" fillId="0" fontId="11" numFmtId="0" xfId="0" applyAlignment="1" applyBorder="1" applyFont="1">
      <alignment shrinkToFit="0" vertical="top" wrapText="1"/>
    </xf>
    <xf borderId="44" fillId="8" fontId="50" numFmtId="0" xfId="0" applyAlignment="1" applyBorder="1" applyFont="1">
      <alignment horizontal="center" readingOrder="0" shrinkToFit="0" vertical="center" wrapText="1"/>
    </xf>
    <xf borderId="44" fillId="8" fontId="51" numFmtId="0" xfId="0" applyAlignment="1" applyBorder="1" applyFont="1">
      <alignment horizontal="center" readingOrder="0" shrinkToFit="0" vertical="center" wrapText="1"/>
    </xf>
    <xf borderId="44" fillId="8" fontId="37" numFmtId="0" xfId="0" applyAlignment="1" applyBorder="1" applyFont="1">
      <alignment horizontal="center" shrinkToFit="0" vertical="center" wrapText="1"/>
    </xf>
    <xf borderId="44" fillId="4" fontId="37" numFmtId="0" xfId="0" applyAlignment="1" applyBorder="1" applyFont="1">
      <alignment horizontal="center" readingOrder="0" shrinkToFit="0" vertical="center" wrapText="1"/>
    </xf>
    <xf borderId="73" fillId="4" fontId="37" numFmtId="0" xfId="0" applyAlignment="1" applyBorder="1" applyFont="1">
      <alignment horizontal="center" readingOrder="0" shrinkToFit="0" vertical="center" wrapText="1"/>
    </xf>
    <xf borderId="74" fillId="0" fontId="11" numFmtId="0" xfId="0" applyAlignment="1" applyBorder="1" applyFont="1">
      <alignment shrinkToFit="0" vertical="top" wrapText="1"/>
    </xf>
    <xf borderId="75" fillId="0" fontId="11" numFmtId="0" xfId="0" applyAlignment="1" applyBorder="1" applyFont="1">
      <alignment shrinkToFit="0" vertical="top" wrapText="1"/>
    </xf>
    <xf borderId="76" fillId="0" fontId="11" numFmtId="0" xfId="0" applyAlignment="1" applyBorder="1" applyFont="1">
      <alignment shrinkToFit="0" vertical="top" wrapText="1"/>
    </xf>
    <xf borderId="77" fillId="0" fontId="11" numFmtId="0" xfId="0" applyAlignment="1" applyBorder="1" applyFont="1">
      <alignment shrinkToFit="0" vertical="top" wrapText="1"/>
    </xf>
    <xf borderId="78" fillId="8" fontId="51" numFmtId="9" xfId="0" applyAlignment="1" applyBorder="1" applyFont="1" applyNumberFormat="1">
      <alignment horizontal="center" readingOrder="0" shrinkToFit="0" vertical="center" wrapText="1"/>
    </xf>
    <xf borderId="78" fillId="8" fontId="37" numFmtId="0" xfId="0" applyAlignment="1" applyBorder="1" applyFont="1">
      <alignment horizontal="center" shrinkToFit="0" vertical="center" wrapText="1"/>
    </xf>
    <xf borderId="79" fillId="0" fontId="11" numFmtId="0" xfId="0" applyAlignment="1" applyBorder="1" applyFont="1">
      <alignment shrinkToFit="0" vertical="top" wrapText="1"/>
    </xf>
    <xf borderId="33" fillId="8" fontId="8" numFmtId="9" xfId="0" applyAlignment="1" applyBorder="1" applyFont="1" applyNumberFormat="1">
      <alignment horizontal="center" shrinkToFit="0" vertical="top" wrapText="1"/>
    </xf>
    <xf borderId="33" fillId="8" fontId="4" numFmtId="1" xfId="0" applyAlignment="1" applyBorder="1" applyFont="1" applyNumberFormat="1">
      <alignment horizontal="center" shrinkToFit="0" vertical="top" wrapText="1"/>
    </xf>
    <xf borderId="33" fillId="8" fontId="47" numFmtId="1" xfId="0" applyAlignment="1" applyBorder="1" applyFont="1" applyNumberFormat="1">
      <alignment horizontal="center" shrinkToFit="0" vertical="top" wrapText="1"/>
    </xf>
    <xf borderId="33" fillId="8" fontId="2" numFmtId="168" xfId="0" applyAlignment="1" applyBorder="1" applyFont="1" applyNumberFormat="1">
      <alignment horizontal="center" shrinkToFit="0" vertical="top" wrapText="1"/>
    </xf>
    <xf borderId="23" fillId="4" fontId="34" numFmtId="0" xfId="0" applyAlignment="1" applyBorder="1" applyFont="1">
      <alignment horizontal="center" readingOrder="0" shrinkToFit="0" vertical="top" wrapText="1"/>
    </xf>
    <xf borderId="80" fillId="4" fontId="34" numFmtId="0" xfId="0" applyAlignment="1" applyBorder="1" applyFont="1">
      <alignment horizontal="center" readingOrder="0" shrinkToFit="0" vertical="top" wrapText="1"/>
    </xf>
    <xf borderId="25" fillId="4" fontId="34" numFmtId="0" xfId="0" applyAlignment="1" applyBorder="1" applyFont="1">
      <alignment horizontal="center" readingOrder="0" shrinkToFit="0" vertical="top" wrapText="1"/>
    </xf>
    <xf borderId="81" fillId="4" fontId="37" numFmtId="0" xfId="0" applyAlignment="1" applyBorder="1" applyFont="1">
      <alignment horizontal="center" readingOrder="0" shrinkToFit="0" vertical="center" wrapText="1"/>
    </xf>
    <xf borderId="82" fillId="4" fontId="37" numFmtId="0" xfId="0" applyAlignment="1" applyBorder="1" applyFont="1">
      <alignment horizontal="center" readingOrder="0" shrinkToFit="0" vertical="center" wrapText="1"/>
    </xf>
    <xf borderId="29" fillId="4" fontId="34" numFmtId="0" xfId="0" applyAlignment="1" applyBorder="1" applyFont="1">
      <alignment horizontal="center" readingOrder="0" shrinkToFit="0" vertical="top" wrapText="1"/>
    </xf>
    <xf borderId="56" fillId="4" fontId="34" numFmtId="0" xfId="0" applyAlignment="1" applyBorder="1" applyFont="1">
      <alignment horizontal="center" readingOrder="0" shrinkToFit="0" vertical="top" wrapText="1"/>
    </xf>
    <xf borderId="30" fillId="4" fontId="34" numFmtId="0" xfId="0" applyAlignment="1" applyBorder="1" applyFont="1">
      <alignment horizontal="center" readingOrder="0" shrinkToFit="0" vertical="top" wrapText="1"/>
    </xf>
    <xf borderId="26" fillId="12" fontId="46" numFmtId="49" xfId="0" applyAlignment="1" applyBorder="1" applyFont="1" applyNumberFormat="1">
      <alignment horizontal="center" shrinkToFit="0" vertical="center" wrapText="1"/>
    </xf>
    <xf borderId="35" fillId="8" fontId="8" numFmtId="9" xfId="0" applyAlignment="1" applyBorder="1" applyFont="1" applyNumberFormat="1">
      <alignment horizontal="center" shrinkToFit="0" vertical="top" wrapText="1"/>
    </xf>
    <xf borderId="35" fillId="8" fontId="4" numFmtId="1" xfId="0" applyAlignment="1" applyBorder="1" applyFont="1" applyNumberFormat="1">
      <alignment horizontal="center" shrinkToFit="0" vertical="top" wrapText="1"/>
    </xf>
    <xf borderId="35" fillId="8" fontId="47" numFmtId="1" xfId="0" applyAlignment="1" applyBorder="1" applyFont="1" applyNumberFormat="1">
      <alignment horizontal="center" shrinkToFit="0" vertical="top" wrapText="1"/>
    </xf>
    <xf borderId="35" fillId="8" fontId="2" numFmtId="168" xfId="0" applyAlignment="1" applyBorder="1" applyFont="1" applyNumberFormat="1">
      <alignment horizontal="center" shrinkToFit="0" vertical="top" wrapText="1"/>
    </xf>
    <xf borderId="26" fillId="4" fontId="34" numFmtId="0" xfId="0" applyAlignment="1" applyBorder="1" applyFont="1">
      <alignment horizontal="center" readingOrder="0" shrinkToFit="0" vertical="top" wrapText="1"/>
    </xf>
    <xf borderId="83" fillId="4" fontId="34" numFmtId="0" xfId="0" applyAlignment="1" applyBorder="1" applyFont="1">
      <alignment horizontal="center" readingOrder="0" shrinkToFit="0" vertical="top" wrapText="1"/>
    </xf>
    <xf borderId="28" fillId="4" fontId="34" numFmtId="0" xfId="0" applyAlignment="1" applyBorder="1" applyFont="1">
      <alignment horizontal="center" readingOrder="0" shrinkToFit="0" vertical="top" wrapText="1"/>
    </xf>
    <xf borderId="84" fillId="0" fontId="3" numFmtId="167" xfId="0" applyAlignment="1" applyBorder="1" applyFont="1" applyNumberFormat="1">
      <alignment horizontal="center" shrinkToFit="0" vertical="top" wrapText="1"/>
    </xf>
    <xf borderId="68" fillId="4" fontId="37" numFmtId="169" xfId="0" applyAlignment="1" applyBorder="1" applyFont="1" applyNumberFormat="1">
      <alignment horizontal="center" readingOrder="0" shrinkToFit="0" vertical="center" wrapText="1"/>
    </xf>
    <xf borderId="63" fillId="15" fontId="45" numFmtId="49" xfId="0" applyAlignment="1" applyBorder="1" applyFont="1" applyNumberFormat="1">
      <alignment horizontal="center" readingOrder="0" shrinkToFit="0" vertical="center" wrapText="1"/>
    </xf>
    <xf borderId="85" fillId="3" fontId="43" numFmtId="0" xfId="0" applyAlignment="1" applyBorder="1" applyFont="1">
      <alignment horizontal="center" shrinkToFit="0" vertical="center" wrapText="1"/>
    </xf>
    <xf borderId="30" fillId="4" fontId="34" numFmtId="0" xfId="0" applyAlignment="1" applyBorder="1" applyFont="1">
      <alignment horizontal="center" readingOrder="0" shrinkToFit="0" vertical="top" wrapText="1"/>
    </xf>
    <xf borderId="85" fillId="0" fontId="11" numFmtId="0" xfId="0" applyAlignment="1" applyBorder="1" applyFont="1">
      <alignment shrinkToFit="0" vertical="top" wrapText="1"/>
    </xf>
    <xf borderId="86" fillId="0" fontId="11" numFmtId="0" xfId="0" applyAlignment="1" applyBorder="1" applyFont="1">
      <alignment shrinkToFit="0" vertical="top" wrapText="1"/>
    </xf>
    <xf borderId="87" fillId="0" fontId="11" numFmtId="0" xfId="0" applyAlignment="1" applyBorder="1" applyFont="1">
      <alignment shrinkToFit="0" vertical="top" wrapText="1"/>
    </xf>
    <xf borderId="88" fillId="12" fontId="2" numFmtId="0" xfId="0" applyAlignment="1" applyBorder="1" applyFont="1">
      <alignment shrinkToFit="0" vertical="top" wrapText="1"/>
    </xf>
    <xf borderId="88" fillId="12" fontId="43" numFmtId="0" xfId="0" applyAlignment="1" applyBorder="1" applyFont="1">
      <alignment horizontal="center" shrinkToFit="0" vertical="center" wrapText="1"/>
    </xf>
    <xf borderId="89" fillId="12" fontId="43" numFmtId="0" xfId="0" applyAlignment="1" applyBorder="1" applyFont="1">
      <alignment horizontal="center" shrinkToFit="0" vertical="center" wrapText="1"/>
    </xf>
    <xf borderId="90" fillId="12" fontId="2" numFmtId="0" xfId="0" applyAlignment="1" applyBorder="1" applyFont="1">
      <alignment horizontal="center" shrinkToFit="0" vertical="top" wrapText="1"/>
    </xf>
    <xf borderId="90" fillId="8" fontId="3" numFmtId="1" xfId="0" applyAlignment="1" applyBorder="1" applyFont="1" applyNumberFormat="1">
      <alignment horizontal="center" shrinkToFit="0" vertical="top" wrapText="1"/>
    </xf>
    <xf borderId="91" fillId="8" fontId="2" numFmtId="9" xfId="0" applyAlignment="1" applyBorder="1" applyFont="1" applyNumberFormat="1">
      <alignment horizontal="center" shrinkToFit="0" vertical="top" wrapText="1"/>
    </xf>
    <xf borderId="89" fillId="8" fontId="4" numFmtId="1" xfId="0" applyAlignment="1" applyBorder="1" applyFont="1" applyNumberFormat="1">
      <alignment horizontal="center" shrinkToFit="0" vertical="top" wrapText="1"/>
    </xf>
    <xf borderId="90" fillId="8" fontId="53" numFmtId="1" xfId="0" applyAlignment="1" applyBorder="1" applyFont="1" applyNumberFormat="1">
      <alignment horizontal="center" shrinkToFit="0" vertical="top" wrapText="1"/>
    </xf>
    <xf borderId="92" fillId="0" fontId="2" numFmtId="0" xfId="0" applyAlignment="1" applyBorder="1" applyFont="1">
      <alignment horizontal="center" shrinkToFit="0" vertical="top" wrapText="1"/>
    </xf>
    <xf borderId="93" fillId="12" fontId="54" numFmtId="0" xfId="0" applyAlignment="1" applyBorder="1" applyFont="1">
      <alignment horizontal="center" shrinkToFit="0" vertical="top" wrapText="1"/>
    </xf>
    <xf borderId="94" fillId="12" fontId="54" numFmtId="0" xfId="0" applyAlignment="1" applyBorder="1" applyFont="1">
      <alignment horizontal="center" shrinkToFit="0" vertical="top" wrapText="1"/>
    </xf>
    <xf borderId="95" fillId="12" fontId="54" numFmtId="0" xfId="0" applyAlignment="1" applyBorder="1" applyFont="1">
      <alignment horizontal="center" shrinkToFit="0" vertical="top" wrapText="1"/>
    </xf>
    <xf borderId="96" fillId="12" fontId="3" numFmtId="3" xfId="0" applyAlignment="1" applyBorder="1" applyFont="1" applyNumberFormat="1">
      <alignment horizontal="center" shrinkToFit="0" vertical="top" wrapText="1"/>
    </xf>
    <xf borderId="33" fillId="8" fontId="47" numFmtId="1" xfId="0" applyAlignment="1" applyBorder="1" applyFont="1" applyNumberFormat="1">
      <alignment horizontal="center" readingOrder="0" shrinkToFit="0" vertical="top" wrapText="1"/>
    </xf>
    <xf borderId="97" fillId="0" fontId="11" numFmtId="0" xfId="0" applyAlignment="1" applyBorder="1" applyFont="1">
      <alignment shrinkToFit="0" vertical="top" wrapText="1"/>
    </xf>
    <xf borderId="98" fillId="0" fontId="11" numFmtId="0" xfId="0" applyAlignment="1" applyBorder="1" applyFont="1">
      <alignment shrinkToFit="0" vertical="top" wrapText="1"/>
    </xf>
    <xf borderId="99" fillId="8" fontId="51" numFmtId="9" xfId="0" applyAlignment="1" applyBorder="1" applyFont="1" applyNumberFormat="1">
      <alignment horizontal="center" readingOrder="0" shrinkToFit="0" vertical="center" wrapText="1"/>
    </xf>
    <xf borderId="99" fillId="8" fontId="37" numFmtId="0" xfId="0" applyAlignment="1" applyBorder="1" applyFont="1">
      <alignment horizontal="center" shrinkToFit="0" vertical="center" wrapText="1"/>
    </xf>
    <xf borderId="100" fillId="0" fontId="11" numFmtId="0" xfId="0" applyAlignment="1" applyBorder="1" applyFont="1">
      <alignment shrinkToFit="0" vertical="top" wrapText="1"/>
    </xf>
    <xf borderId="101" fillId="16" fontId="3" numFmtId="9" xfId="0" applyAlignment="1" applyBorder="1" applyFill="1" applyFont="1" applyNumberFormat="1">
      <alignment horizontal="center" readingOrder="0" shrinkToFit="0" vertical="top" wrapText="1"/>
    </xf>
    <xf borderId="102" fillId="16" fontId="3" numFmtId="3" xfId="0" applyAlignment="1" applyBorder="1" applyFont="1" applyNumberFormat="1">
      <alignment horizontal="center" readingOrder="0" shrinkToFit="0" vertical="center" wrapText="1"/>
    </xf>
    <xf borderId="103" fillId="17" fontId="3" numFmtId="9" xfId="0" applyAlignment="1" applyBorder="1" applyFill="1" applyFont="1" applyNumberFormat="1">
      <alignment horizontal="center" readingOrder="0" shrinkToFit="0" vertical="top" wrapText="1"/>
    </xf>
    <xf borderId="104" fillId="17" fontId="3" numFmtId="3" xfId="0" applyAlignment="1" applyBorder="1" applyFont="1" applyNumberFormat="1">
      <alignment horizontal="center" readingOrder="0" shrinkToFit="0" vertical="center" wrapText="1"/>
    </xf>
    <xf borderId="104" fillId="0" fontId="11" numFmtId="0" xfId="0" applyAlignment="1" applyBorder="1" applyFont="1">
      <alignment shrinkToFit="0" vertical="top" wrapText="1"/>
    </xf>
    <xf borderId="103" fillId="18" fontId="3" numFmtId="9" xfId="0" applyAlignment="1" applyBorder="1" applyFill="1" applyFont="1" applyNumberFormat="1">
      <alignment horizontal="center" readingOrder="0" shrinkToFit="0" vertical="top" wrapText="1"/>
    </xf>
    <xf borderId="104" fillId="18" fontId="3" numFmtId="3" xfId="0" applyAlignment="1" applyBorder="1" applyFont="1" applyNumberFormat="1">
      <alignment horizontal="center" readingOrder="0" shrinkToFit="0" vertical="center" wrapText="1"/>
    </xf>
    <xf borderId="103" fillId="19" fontId="3" numFmtId="9" xfId="0" applyAlignment="1" applyBorder="1" applyFill="1" applyFont="1" applyNumberFormat="1">
      <alignment horizontal="center" readingOrder="0" shrinkToFit="0" vertical="top" wrapText="1"/>
    </xf>
    <xf borderId="104" fillId="19" fontId="3" numFmtId="3" xfId="0" applyAlignment="1" applyBorder="1" applyFont="1" applyNumberFormat="1">
      <alignment horizontal="center" readingOrder="0" shrinkToFit="0" vertical="center" wrapText="1"/>
    </xf>
    <xf borderId="103" fillId="20" fontId="3" numFmtId="9" xfId="0" applyAlignment="1" applyBorder="1" applyFill="1" applyFont="1" applyNumberFormat="1">
      <alignment horizontal="center" readingOrder="0" shrinkToFit="0" vertical="top" wrapText="1"/>
    </xf>
    <xf borderId="104" fillId="20" fontId="3" numFmtId="3" xfId="0" applyAlignment="1" applyBorder="1" applyFont="1" applyNumberFormat="1">
      <alignment horizontal="center" readingOrder="0" shrinkToFit="0" vertical="center" wrapText="1"/>
    </xf>
    <xf borderId="103" fillId="21" fontId="3" numFmtId="9" xfId="0" applyAlignment="1" applyBorder="1" applyFill="1" applyFont="1" applyNumberFormat="1">
      <alignment horizontal="center" readingOrder="0" shrinkToFit="0" vertical="top" wrapText="1"/>
    </xf>
    <xf borderId="104" fillId="21" fontId="3" numFmtId="3" xfId="0" applyAlignment="1" applyBorder="1" applyFont="1" applyNumberFormat="1">
      <alignment horizontal="center" readingOrder="0" shrinkToFit="0" vertical="center" wrapText="1"/>
    </xf>
    <xf borderId="91" fillId="8" fontId="3" numFmtId="9" xfId="0" applyAlignment="1" applyBorder="1" applyFont="1" applyNumberFormat="1">
      <alignment horizontal="center" shrinkToFit="0" vertical="top" wrapText="1"/>
    </xf>
    <xf borderId="92" fillId="8" fontId="2" numFmtId="0" xfId="0" applyAlignment="1" applyBorder="1" applyFont="1">
      <alignment horizontal="center" shrinkToFit="0" vertical="top" wrapText="1"/>
    </xf>
    <xf borderId="105" fillId="12" fontId="54" numFmtId="0" xfId="0" applyAlignment="1" applyBorder="1" applyFont="1">
      <alignment horizontal="center" shrinkToFit="0" vertical="top" wrapText="1"/>
    </xf>
    <xf borderId="106" fillId="12" fontId="54" numFmtId="0" xfId="0" applyAlignment="1" applyBorder="1" applyFont="1">
      <alignment horizontal="center" shrinkToFit="0" vertical="top" wrapText="1"/>
    </xf>
    <xf borderId="107" fillId="12" fontId="3" numFmtId="3" xfId="0" applyAlignment="1" applyBorder="1" applyFont="1" applyNumberFormat="1">
      <alignment horizontal="center" shrinkToFit="0" vertical="top" wrapText="1"/>
    </xf>
    <xf borderId="33" fillId="2" fontId="44" numFmtId="0" xfId="0" applyAlignment="1" applyBorder="1" applyFont="1">
      <alignment horizontal="center" readingOrder="0" shrinkToFit="0" vertical="center" wrapText="1"/>
    </xf>
    <xf borderId="103" fillId="22" fontId="3" numFmtId="9" xfId="0" applyAlignment="1" applyBorder="1" applyFill="1" applyFont="1" applyNumberFormat="1">
      <alignment horizontal="center" readingOrder="0" shrinkToFit="0" vertical="top" wrapText="1"/>
    </xf>
    <xf borderId="104" fillId="22" fontId="3" numFmtId="3" xfId="0" applyAlignment="1" applyBorder="1" applyFont="1" applyNumberFormat="1">
      <alignment horizontal="center" readingOrder="0" shrinkToFit="0" vertical="center" wrapText="1"/>
    </xf>
    <xf borderId="108" fillId="22" fontId="3" numFmtId="9" xfId="0" applyAlignment="1" applyBorder="1" applyFont="1" applyNumberFormat="1">
      <alignment horizontal="center" readingOrder="0" shrinkToFit="0" vertical="top" wrapText="1"/>
    </xf>
    <xf borderId="109" fillId="0" fontId="11" numFmtId="0" xfId="0" applyAlignment="1" applyBorder="1" applyFont="1">
      <alignment shrinkToFit="0" vertical="top" wrapText="1"/>
    </xf>
    <xf borderId="33" fillId="8" fontId="8" numFmtId="9" xfId="0" applyAlignment="1" applyBorder="1" applyFont="1" applyNumberFormat="1">
      <alignment horizontal="center" readingOrder="0" shrinkToFit="0" vertical="top" wrapText="1"/>
    </xf>
    <xf borderId="23" fillId="8" fontId="2" numFmtId="168" xfId="0" applyAlignment="1" applyBorder="1" applyFont="1" applyNumberFormat="1">
      <alignment horizontal="center" shrinkToFit="0" vertical="top" wrapText="1"/>
    </xf>
    <xf borderId="34" fillId="4" fontId="34" numFmtId="0" xfId="0" applyAlignment="1" applyBorder="1" applyFont="1">
      <alignment horizontal="center" readingOrder="0" shrinkToFit="0" vertical="top" wrapText="1"/>
    </xf>
    <xf borderId="110" fillId="4" fontId="34" numFmtId="0" xfId="0" applyAlignment="1" applyBorder="1" applyFont="1">
      <alignment horizontal="center" readingOrder="0" shrinkToFit="0" vertical="top" wrapText="1"/>
    </xf>
    <xf borderId="29" fillId="8" fontId="2" numFmtId="168" xfId="0" applyAlignment="1" applyBorder="1" applyFont="1" applyNumberFormat="1">
      <alignment horizontal="center" shrinkToFit="0" vertical="top" wrapText="1"/>
    </xf>
    <xf borderId="32" fillId="4" fontId="34" numFmtId="0" xfId="0" applyAlignment="1" applyBorder="1" applyFont="1">
      <alignment horizontal="center" readingOrder="0" shrinkToFit="0" vertical="top" wrapText="1"/>
    </xf>
    <xf borderId="111" fillId="4" fontId="34" numFmtId="0" xfId="0" applyAlignment="1" applyBorder="1" applyFont="1">
      <alignment horizontal="center" readingOrder="0" shrinkToFit="0" vertical="top" wrapText="1"/>
    </xf>
    <xf borderId="112" fillId="15" fontId="45" numFmtId="49" xfId="0" applyAlignment="1" applyBorder="1" applyFont="1" applyNumberFormat="1">
      <alignment horizontal="center" readingOrder="0" shrinkToFit="0" vertical="center" wrapText="1"/>
    </xf>
    <xf borderId="113" fillId="3" fontId="43" numFmtId="0" xfId="0" applyAlignment="1" applyBorder="1" applyFont="1">
      <alignment horizontal="center" shrinkToFit="0" vertical="center" wrapText="1"/>
    </xf>
    <xf borderId="114" fillId="12" fontId="46" numFmtId="49" xfId="0" applyAlignment="1" applyBorder="1" applyFont="1" applyNumberFormat="1">
      <alignment horizontal="center" shrinkToFit="0" vertical="center" wrapText="1"/>
    </xf>
    <xf borderId="115" fillId="8" fontId="8" numFmtId="9" xfId="0" applyAlignment="1" applyBorder="1" applyFont="1" applyNumberFormat="1">
      <alignment horizontal="center" shrinkToFit="0" vertical="top" wrapText="1"/>
    </xf>
    <xf borderId="115" fillId="8" fontId="4" numFmtId="1" xfId="0" applyAlignment="1" applyBorder="1" applyFont="1" applyNumberFormat="1">
      <alignment horizontal="center" shrinkToFit="0" vertical="top" wrapText="1"/>
    </xf>
    <xf borderId="115" fillId="8" fontId="47" numFmtId="1" xfId="0" applyAlignment="1" applyBorder="1" applyFont="1" applyNumberFormat="1">
      <alignment horizontal="center" shrinkToFit="0" vertical="top" wrapText="1"/>
    </xf>
    <xf borderId="114" fillId="8" fontId="2" numFmtId="168" xfId="0" applyAlignment="1" applyBorder="1" applyFont="1" applyNumberFormat="1">
      <alignment horizontal="center" shrinkToFit="0" vertical="top" wrapText="1"/>
    </xf>
    <xf borderId="116" fillId="4" fontId="34" numFmtId="0" xfId="0" applyAlignment="1" applyBorder="1" applyFont="1">
      <alignment horizontal="center" readingOrder="0" shrinkToFit="0" vertical="top" wrapText="1"/>
    </xf>
    <xf borderId="117" fillId="4" fontId="34" numFmtId="0" xfId="0" applyAlignment="1" applyBorder="1" applyFont="1">
      <alignment horizontal="center" readingOrder="0" shrinkToFit="0" vertical="top" wrapText="1"/>
    </xf>
    <xf borderId="118" fillId="4" fontId="34" numFmtId="0" xfId="0" applyAlignment="1" applyBorder="1" applyFont="1">
      <alignment horizontal="center" readingOrder="0" shrinkToFit="0" vertical="top" wrapText="1"/>
    </xf>
    <xf borderId="119" fillId="0" fontId="3" numFmtId="167" xfId="0" applyAlignment="1" applyBorder="1" applyFont="1" applyNumberFormat="1">
      <alignment horizontal="center" shrinkToFit="0" vertical="top" wrapText="1"/>
    </xf>
    <xf borderId="0" fillId="8" fontId="42" numFmtId="166" xfId="0" applyAlignment="1" applyFont="1" applyNumberFormat="1">
      <alignment horizontal="center" shrinkToFit="0" vertical="center" wrapText="1"/>
    </xf>
    <xf borderId="120" fillId="0" fontId="11" numFmtId="0" xfId="0" applyAlignment="1" applyBorder="1" applyFont="1">
      <alignment shrinkToFit="0" vertical="top" wrapText="1"/>
    </xf>
    <xf borderId="121" fillId="0" fontId="11" numFmtId="0" xfId="0" applyAlignment="1" applyBorder="1" applyFont="1">
      <alignment shrinkToFit="0" vertical="top" wrapText="1"/>
    </xf>
    <xf borderId="122" fillId="12" fontId="46" numFmtId="49" xfId="0" applyAlignment="1" applyBorder="1" applyFont="1" applyNumberFormat="1">
      <alignment horizontal="center" shrinkToFit="0" vertical="center" wrapText="1"/>
    </xf>
    <xf borderId="123" fillId="8" fontId="8" numFmtId="9" xfId="0" applyAlignment="1" applyBorder="1" applyFont="1" applyNumberFormat="1">
      <alignment horizontal="center" shrinkToFit="0" vertical="top" wrapText="1"/>
    </xf>
    <xf borderId="123" fillId="8" fontId="4" numFmtId="1" xfId="0" applyAlignment="1" applyBorder="1" applyFont="1" applyNumberFormat="1">
      <alignment horizontal="center" shrinkToFit="0" vertical="top" wrapText="1"/>
    </xf>
    <xf borderId="123" fillId="8" fontId="47" numFmtId="1" xfId="0" applyAlignment="1" applyBorder="1" applyFont="1" applyNumberFormat="1">
      <alignment horizontal="center" shrinkToFit="0" vertical="top" wrapText="1"/>
    </xf>
    <xf borderId="122" fillId="8" fontId="2" numFmtId="168" xfId="0" applyAlignment="1" applyBorder="1" applyFont="1" applyNumberFormat="1">
      <alignment horizontal="center" shrinkToFit="0" vertical="top" wrapText="1"/>
    </xf>
    <xf borderId="124" fillId="4" fontId="34" numFmtId="0" xfId="0" applyAlignment="1" applyBorder="1" applyFont="1">
      <alignment horizontal="center" readingOrder="0" shrinkToFit="0" vertical="top" wrapText="1"/>
    </xf>
    <xf borderId="125" fillId="4" fontId="34" numFmtId="0" xfId="0" applyAlignment="1" applyBorder="1" applyFont="1">
      <alignment horizontal="center" readingOrder="0" shrinkToFit="0" vertical="top" wrapText="1"/>
    </xf>
    <xf borderId="126" fillId="4" fontId="34" numFmtId="0" xfId="0" applyAlignment="1" applyBorder="1" applyFont="1">
      <alignment horizontal="center" readingOrder="0" shrinkToFit="0" vertical="top" wrapText="1"/>
    </xf>
    <xf borderId="127" fillId="0" fontId="3" numFmtId="167" xfId="0" applyAlignment="1" applyBorder="1" applyFont="1" applyNumberFormat="1">
      <alignment horizontal="center" shrinkToFit="0" vertical="top" wrapText="1"/>
    </xf>
    <xf borderId="64" fillId="3" fontId="43" numFmtId="0" xfId="0" applyAlignment="1" applyBorder="1" applyFont="1">
      <alignment horizontal="center" shrinkToFit="0" vertical="center" wrapText="1"/>
    </xf>
    <xf borderId="26" fillId="8" fontId="2" numFmtId="168" xfId="0" applyAlignment="1" applyBorder="1" applyFont="1" applyNumberFormat="1">
      <alignment horizontal="center" shrinkToFit="0" vertical="top" wrapText="1"/>
    </xf>
    <xf borderId="36" fillId="4" fontId="34" numFmtId="0" xfId="0" applyAlignment="1" applyBorder="1" applyFont="1">
      <alignment horizontal="center" readingOrder="0" shrinkToFit="0" vertical="top" wrapText="1"/>
    </xf>
    <xf borderId="27" fillId="4" fontId="34" numFmtId="0" xfId="0" applyAlignment="1" applyBorder="1" applyFont="1">
      <alignment horizontal="center" readingOrder="0" shrinkToFit="0" vertical="top" wrapText="1"/>
    </xf>
    <xf borderId="0" fillId="8" fontId="6" numFmtId="0" xfId="0" applyAlignment="1" applyFont="1">
      <alignment shrinkToFit="0" vertical="top" wrapText="1"/>
    </xf>
    <xf borderId="128" fillId="0" fontId="11" numFmtId="0" xfId="0" applyAlignment="1" applyBorder="1" applyFont="1">
      <alignment shrinkToFit="0" vertical="top" wrapText="1"/>
    </xf>
    <xf borderId="129" fillId="0" fontId="11" numFmtId="0" xfId="0" applyAlignment="1" applyBorder="1" applyFont="1">
      <alignment shrinkToFit="0" vertical="top" wrapText="1"/>
    </xf>
    <xf borderId="130" fillId="0" fontId="11" numFmtId="0" xfId="0" applyAlignment="1" applyBorder="1" applyFont="1">
      <alignment shrinkToFit="0" vertical="top" wrapText="1"/>
    </xf>
    <xf borderId="0" fillId="2" fontId="55" numFmtId="49" xfId="0" applyAlignment="1" applyFont="1" applyNumberFormat="1">
      <alignment horizontal="center" shrinkToFit="0" vertical="center" wrapText="1"/>
    </xf>
    <xf borderId="0" fillId="2" fontId="55" numFmtId="49" xfId="0" applyAlignment="1" applyFont="1" applyNumberFormat="1">
      <alignment horizontal="center" readingOrder="0" shrinkToFit="0" vertical="center" wrapText="1"/>
    </xf>
    <xf borderId="30" fillId="2" fontId="22" numFmtId="0" xfId="0" applyAlignment="1" applyBorder="1" applyFont="1">
      <alignment horizontal="center" readingOrder="0" shrinkToFit="0" vertical="center" wrapText="1"/>
    </xf>
    <xf borderId="27" fillId="2" fontId="55" numFmtId="49" xfId="0" applyAlignment="1" applyBorder="1" applyFont="1" applyNumberFormat="1">
      <alignment horizontal="center" readingOrder="0" shrinkToFit="0" vertical="center" wrapText="1"/>
    </xf>
    <xf borderId="27" fillId="2" fontId="55" numFmtId="49" xfId="0" applyAlignment="1" applyBorder="1" applyFont="1" applyNumberFormat="1">
      <alignment horizontal="center" shrinkToFit="0" vertical="center" wrapText="1"/>
    </xf>
    <xf borderId="29" fillId="8" fontId="8" numFmtId="49" xfId="0" applyAlignment="1" applyBorder="1" applyFont="1" applyNumberFormat="1">
      <alignment horizontal="center" shrinkToFit="0" vertical="center" wrapText="1"/>
    </xf>
    <xf borderId="31" fillId="8" fontId="31" numFmtId="0" xfId="0" applyAlignment="1" applyBorder="1" applyFont="1">
      <alignment horizontal="center" shrinkToFit="0" vertical="center" wrapText="1"/>
    </xf>
    <xf borderId="29" fillId="0" fontId="56" numFmtId="49" xfId="0" applyAlignment="1" applyBorder="1" applyFont="1" applyNumberFormat="1">
      <alignment shrinkToFit="0" vertical="top" wrapText="1"/>
    </xf>
    <xf borderId="32" fillId="4" fontId="2" numFmtId="1" xfId="0" applyAlignment="1" applyBorder="1" applyFont="1" applyNumberForma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31" fillId="13" fontId="2" numFmtId="0" xfId="0" applyAlignment="1" applyBorder="1" applyFont="1">
      <alignment horizontal="center" readingOrder="0" shrinkToFit="0" vertical="center" wrapText="1"/>
    </xf>
    <xf borderId="31" fillId="4" fontId="2" numFmtId="0" xfId="0" applyAlignment="1" applyBorder="1" applyFont="1">
      <alignment horizontal="center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3" fillId="23" fontId="3" numFmtId="1" xfId="0" applyAlignment="1" applyBorder="1" applyFill="1" applyFont="1" applyNumberFormat="1">
      <alignment horizontal="center" readingOrder="0" shrinkToFit="0" vertical="center" wrapText="1"/>
    </xf>
    <xf borderId="31" fillId="0" fontId="57" numFmtId="1" xfId="0" applyAlignment="1" applyBorder="1" applyFont="1" applyNumberFormat="1">
      <alignment horizontal="center" shrinkToFit="0" vertical="top" wrapText="1"/>
    </xf>
    <xf borderId="30" fillId="0" fontId="6" numFmtId="10" xfId="0" applyAlignment="1" applyBorder="1" applyFont="1" applyNumberFormat="1">
      <alignment horizontal="center" shrinkToFit="0" vertical="top" wrapText="1"/>
    </xf>
    <xf borderId="31" fillId="23" fontId="3" numFmtId="1" xfId="0" applyAlignment="1" applyBorder="1" applyFont="1" applyNumberFormat="1">
      <alignment horizontal="center" readingOrder="0" shrinkToFit="0" vertical="center" wrapText="1"/>
    </xf>
    <xf borderId="31" fillId="4" fontId="2" numFmtId="0" xfId="0" applyAlignment="1" applyBorder="1" applyFont="1">
      <alignment horizontal="center" shrinkToFit="0" vertical="center" wrapText="1"/>
    </xf>
    <xf borderId="131" fillId="0" fontId="11" numFmtId="0" xfId="0" applyAlignment="1" applyBorder="1" applyFont="1">
      <alignment shrinkToFit="0" vertical="top" wrapText="1"/>
    </xf>
    <xf borderId="23" fillId="8" fontId="8" numFmtId="49" xfId="0" applyAlignment="1" applyBorder="1" applyFont="1" applyNumberFormat="1">
      <alignment horizontal="center" shrinkToFit="0" vertical="center" wrapText="1"/>
    </xf>
    <xf borderId="33" fillId="8" fontId="31" numFmtId="0" xfId="0" applyAlignment="1" applyBorder="1" applyFont="1">
      <alignment horizontal="center" shrinkToFit="0" vertical="center" wrapText="1"/>
    </xf>
    <xf borderId="23" fillId="0" fontId="56" numFmtId="49" xfId="0" applyAlignment="1" applyBorder="1" applyFont="1" applyNumberFormat="1">
      <alignment shrinkToFit="0" vertical="top" wrapText="1"/>
    </xf>
    <xf borderId="34" fillId="4" fontId="2" numFmtId="1" xfId="0" applyAlignment="1" applyBorder="1" applyFont="1" applyNumberFormat="1">
      <alignment horizontal="center" readingOrder="0" shrinkToFit="0" vertical="center" wrapText="1"/>
    </xf>
    <xf borderId="25" fillId="0" fontId="2" numFmtId="0" xfId="0" applyAlignment="1" applyBorder="1" applyFont="1">
      <alignment horizontal="center" readingOrder="0" shrinkToFit="0" vertical="center" wrapText="1"/>
    </xf>
    <xf borderId="33" fillId="13" fontId="2" numFmtId="0" xfId="0" applyAlignment="1" applyBorder="1" applyFont="1">
      <alignment horizontal="center" readingOrder="0" shrinkToFit="0" vertical="center" wrapText="1"/>
    </xf>
    <xf borderId="33" fillId="4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readingOrder="0" shrinkToFit="0" vertical="center" wrapText="1"/>
    </xf>
    <xf borderId="34" fillId="4" fontId="2" numFmtId="0" xfId="0" applyAlignment="1" applyBorder="1" applyFont="1">
      <alignment horizontal="center" readingOrder="0" shrinkToFit="0" vertical="center" wrapText="1"/>
    </xf>
    <xf borderId="33" fillId="0" fontId="57" numFmtId="1" xfId="0" applyAlignment="1" applyBorder="1" applyFont="1" applyNumberFormat="1">
      <alignment horizontal="center" shrinkToFit="0" vertical="top" wrapText="1"/>
    </xf>
    <xf borderId="25" fillId="0" fontId="6" numFmtId="10" xfId="0" applyAlignment="1" applyBorder="1" applyFont="1" applyNumberFormat="1">
      <alignment horizontal="center" shrinkToFit="0" vertical="top" wrapText="1"/>
    </xf>
    <xf borderId="35" fillId="8" fontId="31" numFmtId="0" xfId="0" applyAlignment="1" applyBorder="1" applyFont="1">
      <alignment horizontal="center" shrinkToFit="0" vertical="center" wrapText="1"/>
    </xf>
    <xf borderId="26" fillId="0" fontId="56" numFmtId="49" xfId="0" applyAlignment="1" applyBorder="1" applyFont="1" applyNumberFormat="1">
      <alignment shrinkToFit="0" vertical="top" wrapText="1"/>
    </xf>
    <xf borderId="36" fillId="4" fontId="2" numFmtId="1" xfId="0" applyAlignment="1" applyBorder="1" applyFont="1" applyNumberFormat="1">
      <alignment horizontal="center" readingOrder="0" shrinkToFit="0" vertical="center" wrapText="1"/>
    </xf>
    <xf borderId="28" fillId="4" fontId="2" numFmtId="0" xfId="0" applyAlignment="1" applyBorder="1" applyFont="1">
      <alignment horizontal="center" readingOrder="0" shrinkToFit="0" vertical="center" wrapText="1"/>
    </xf>
    <xf borderId="28" fillId="0" fontId="2" numFmtId="0" xfId="0" applyAlignment="1" applyBorder="1" applyFont="1">
      <alignment horizontal="center" readingOrder="0" shrinkToFit="0" vertical="center" wrapText="1"/>
    </xf>
    <xf borderId="35" fillId="13" fontId="2" numFmtId="0" xfId="0" applyAlignment="1" applyBorder="1" applyFont="1">
      <alignment horizontal="center" readingOrder="0" shrinkToFit="0" vertical="center" wrapText="1"/>
    </xf>
    <xf borderId="35" fillId="4" fontId="2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horizontal="center" readingOrder="0" shrinkToFit="0" vertical="center" wrapText="1"/>
    </xf>
    <xf borderId="35" fillId="23" fontId="3" numFmtId="1" xfId="0" applyAlignment="1" applyBorder="1" applyFont="1" applyNumberFormat="1">
      <alignment horizontal="center" readingOrder="0" shrinkToFit="0" vertical="center" wrapText="1"/>
    </xf>
    <xf borderId="35" fillId="0" fontId="57" numFmtId="1" xfId="0" applyAlignment="1" applyBorder="1" applyFont="1" applyNumberFormat="1">
      <alignment horizontal="center" shrinkToFit="0" vertical="top" wrapText="1"/>
    </xf>
    <xf borderId="28" fillId="0" fontId="6" numFmtId="10" xfId="0" applyAlignment="1" applyBorder="1" applyFont="1" applyNumberFormat="1">
      <alignment horizontal="center" shrinkToFit="0" vertical="top" wrapText="1"/>
    </xf>
    <xf borderId="132" fillId="24" fontId="58" numFmtId="0" xfId="0" applyAlignment="1" applyBorder="1" applyFill="1" applyFont="1">
      <alignment horizontal="center" readingOrder="0" shrinkToFit="0" vertical="top" wrapText="1"/>
    </xf>
    <xf borderId="133" fillId="2" fontId="5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34" fillId="0" fontId="60" numFmtId="0" xfId="0" applyAlignment="1" applyBorder="1" applyFont="1">
      <alignment horizontal="center" readingOrder="0" shrinkToFit="0" vertical="top" wrapText="1"/>
    </xf>
    <xf borderId="133" fillId="0" fontId="37" numFmtId="164" xfId="0" applyAlignment="1" applyBorder="1" applyFont="1" applyNumberFormat="1">
      <alignment horizontal="center" shrinkToFit="0" vertical="center" wrapText="1"/>
    </xf>
    <xf borderId="133" fillId="0" fontId="37" numFmtId="0" xfId="0" applyAlignment="1" applyBorder="1" applyFont="1">
      <alignment horizontal="center" readingOrder="0" shrinkToFit="0" vertical="center" wrapText="1"/>
    </xf>
    <xf borderId="133" fillId="0" fontId="61" numFmtId="165" xfId="0" applyAlignment="1" applyBorder="1" applyFont="1" applyNumberFormat="1">
      <alignment horizontal="center" readingOrder="0" shrinkToFit="0" vertical="center" wrapText="1"/>
    </xf>
    <xf borderId="133" fillId="0" fontId="61" numFmtId="1" xfId="0" applyAlignment="1" applyBorder="1" applyFont="1" applyNumberFormat="1">
      <alignment horizontal="center" readingOrder="0" shrinkToFit="0" vertical="center" wrapText="1"/>
    </xf>
    <xf borderId="59" fillId="0" fontId="62" numFmtId="10" xfId="0" applyAlignment="1" applyBorder="1" applyFont="1" applyNumberFormat="1">
      <alignment horizontal="center" readingOrder="0" shrinkToFit="0" vertical="center" wrapText="1"/>
    </xf>
    <xf borderId="135" fillId="0" fontId="60" numFmtId="0" xfId="0" applyAlignment="1" applyBorder="1" applyFont="1">
      <alignment horizontal="center" readingOrder="0" shrinkToFit="0" vertical="top" wrapText="1"/>
    </xf>
    <xf borderId="133" fillId="4" fontId="37" numFmtId="164" xfId="0" applyAlignment="1" applyBorder="1" applyFont="1" applyNumberFormat="1">
      <alignment horizontal="center" shrinkToFit="0" vertical="center" wrapText="1"/>
    </xf>
    <xf borderId="133" fillId="4" fontId="37" numFmtId="0" xfId="0" applyAlignment="1" applyBorder="1" applyFont="1">
      <alignment horizontal="center" readingOrder="0" shrinkToFit="0" vertical="center" wrapText="1"/>
    </xf>
    <xf borderId="2" fillId="2" fontId="23" numFmtId="0" xfId="0" applyAlignment="1" applyBorder="1" applyFont="1">
      <alignment readingOrder="0" shrinkToFit="0" vertical="top" wrapText="1"/>
    </xf>
    <xf borderId="24" fillId="0" fontId="37" numFmtId="0" xfId="0" applyAlignment="1" applyBorder="1" applyFont="1">
      <alignment horizontal="center" readingOrder="0" shrinkToFit="0" vertical="center" wrapText="1"/>
    </xf>
    <xf borderId="2" fillId="10" fontId="23" numFmtId="0" xfId="0" applyAlignment="1" applyBorder="1" applyFont="1">
      <alignment readingOrder="0" shrinkToFit="0" vertical="top" wrapText="1"/>
    </xf>
    <xf borderId="20" fillId="10" fontId="23" numFmtId="0" xfId="0" applyAlignment="1" applyBorder="1" applyFont="1">
      <alignment horizontal="center" shrinkToFit="0" vertical="top" wrapText="1"/>
    </xf>
    <xf borderId="0" fillId="2" fontId="63" numFmtId="0" xfId="0" applyAlignment="1" applyFont="1">
      <alignment horizontal="center" readingOrder="0" shrinkToFit="0" vertical="top" wrapText="1"/>
    </xf>
    <xf borderId="0" fillId="0" fontId="20" numFmtId="0" xfId="0" applyAlignment="1" applyFont="1">
      <alignment horizontal="center" readingOrder="0" shrinkToFit="0" vertical="center" wrapText="1"/>
    </xf>
    <xf borderId="23" fillId="2" fontId="23" numFmtId="0" xfId="0" applyAlignment="1" applyBorder="1" applyFont="1">
      <alignment readingOrder="0" shrinkToFit="0" vertical="top" wrapText="1"/>
    </xf>
    <xf borderId="0" fillId="4" fontId="6" numFmtId="0" xfId="0" applyAlignment="1" applyFont="1">
      <alignment readingOrder="0" shrinkToFit="0" vertical="center" wrapText="1"/>
    </xf>
    <xf borderId="0" fillId="8" fontId="6" numFmtId="9" xfId="0" applyAlignment="1" applyFont="1" applyNumberFormat="1">
      <alignment horizontal="center" readingOrder="0" shrinkToFit="0" vertical="top" wrapText="1"/>
    </xf>
    <xf borderId="0" fillId="4" fontId="6" numFmtId="170" xfId="0" applyAlignment="1" applyFont="1" applyNumberFormat="1">
      <alignment horizontal="center" readingOrder="0" shrinkToFit="0" vertical="top" wrapText="1"/>
    </xf>
    <xf borderId="0" fillId="0" fontId="6" numFmtId="3" xfId="0" applyAlignment="1" applyFont="1" applyNumberFormat="1">
      <alignment horizontal="center" shrinkToFit="0" vertical="top" wrapText="1"/>
    </xf>
    <xf borderId="29" fillId="10" fontId="64" numFmtId="0" xfId="0" applyAlignment="1" applyBorder="1" applyFont="1">
      <alignment readingOrder="0" shrinkToFit="0" vertical="top" wrapText="1"/>
    </xf>
    <xf borderId="30" fillId="10" fontId="23" numFmtId="0" xfId="0" applyAlignment="1" applyBorder="1" applyFont="1">
      <alignment horizontal="center" shrinkToFit="0" vertical="top" wrapText="1"/>
    </xf>
    <xf borderId="26" fillId="10" fontId="64" numFmtId="0" xfId="0" applyAlignment="1" applyBorder="1" applyFont="1">
      <alignment readingOrder="0" shrinkToFit="0" vertical="top" wrapText="1"/>
    </xf>
    <xf borderId="28" fillId="10" fontId="23" numFmtId="0" xfId="0" applyAlignment="1" applyBorder="1" applyFont="1">
      <alignment horizontal="center" shrinkToFit="0" vertical="top" wrapText="1"/>
    </xf>
    <xf borderId="0" fillId="0" fontId="65" numFmtId="0" xfId="0" applyAlignment="1" applyFont="1">
      <alignment shrinkToFit="0" vertical="top" wrapText="1"/>
    </xf>
    <xf borderId="0" fillId="4" fontId="6" numFmtId="170" xfId="0" applyAlignment="1" applyFont="1" applyNumberFormat="1">
      <alignment horizontal="center" shrinkToFit="0" vertical="top" wrapText="1"/>
    </xf>
    <xf borderId="0" fillId="0" fontId="66" numFmtId="0" xfId="0" applyAlignment="1" applyFont="1">
      <alignment horizontal="center" readingOrder="0" shrinkToFit="0" vertical="top" wrapText="1"/>
    </xf>
    <xf borderId="0" fillId="0" fontId="20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4" fontId="6" numFmtId="4" xfId="0" applyAlignment="1" applyFont="1" applyNumberFormat="1">
      <alignment horizontal="center" readingOrder="0" shrinkToFit="0" vertical="top" wrapText="1"/>
    </xf>
    <xf borderId="0" fillId="4" fontId="6" numFmtId="0" xfId="0" applyAlignment="1" applyFont="1">
      <alignment readingOrder="0" shrinkToFit="0" vertical="top" wrapText="1"/>
    </xf>
    <xf borderId="0" fillId="0" fontId="6" numFmtId="9" xfId="0" applyAlignment="1" applyFont="1" applyNumberFormat="1">
      <alignment readingOrder="0" shrinkToFit="0" vertical="top" wrapText="1"/>
    </xf>
    <xf borderId="0" fillId="0" fontId="6" numFmtId="2" xfId="0" applyAlignment="1" applyFont="1" applyNumberFormat="1">
      <alignment horizontal="center" shrinkToFit="0" vertical="top" wrapText="1"/>
    </xf>
    <xf borderId="0" fillId="8" fontId="37" numFmtId="0" xfId="0" applyAlignment="1" applyFont="1">
      <alignment shrinkToFit="0" vertical="top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0" fillId="13" fontId="67" numFmtId="0" xfId="0" applyAlignment="1" applyFont="1">
      <alignment horizontal="center" readingOrder="0" shrinkToFit="0" vertical="top" wrapText="1"/>
    </xf>
    <xf borderId="0" fillId="4" fontId="67" numFmtId="0" xfId="0" applyAlignment="1" applyFont="1">
      <alignment horizontal="center" readingOrder="0" shrinkToFit="0" vertical="top" wrapText="1"/>
    </xf>
    <xf borderId="0" fillId="0" fontId="37" numFmtId="0" xfId="0" applyAlignment="1" applyFont="1">
      <alignment readingOrder="0" shrinkToFit="0" vertical="top" wrapText="1"/>
    </xf>
    <xf borderId="0" fillId="0" fontId="67" numFmtId="0" xfId="0" applyAlignment="1" applyFont="1">
      <alignment horizontal="center" readingOrder="0" shrinkToFit="0" vertical="top" wrapText="1"/>
    </xf>
    <xf borderId="0" fillId="0" fontId="68" numFmtId="0" xfId="0" applyAlignment="1" applyFont="1">
      <alignment horizontal="center" readingOrder="0" shrinkToFit="0" vertical="top" wrapText="1"/>
    </xf>
    <xf borderId="0" fillId="13" fontId="69" numFmtId="0" xfId="0" applyAlignment="1" applyFont="1">
      <alignment horizontal="center" readingOrder="0" shrinkToFit="0" vertical="top" wrapText="1"/>
    </xf>
    <xf borderId="0" fillId="0" fontId="57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10">
    <dxf>
      <font/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>
        <color rgb="FFFFFFFF"/>
      </font>
      <fill>
        <patternFill patternType="solid">
          <fgColor rgb="FFE06666"/>
          <bgColor rgb="FFE06666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APROVEITAMENTO DO TREINAMENTO - MICROCICLO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Dashboard!$L$76</c:f>
            </c:strRef>
          </c:tx>
          <c:spPr>
            <a:ln cmpd="sng">
              <a:solidFill>
                <a:srgbClr val="00A2FF"/>
              </a:solidFill>
            </a:ln>
          </c:spPr>
          <c:marker>
            <c:symbol val="none"/>
          </c:marker>
          <c:cat>
            <c:strRef>
              <c:f>Dashboard!$M$71:$P$71</c:f>
            </c:strRef>
          </c:cat>
          <c:val>
            <c:numRef>
              <c:f>Dashboard!$M$76:$P$76</c:f>
              <c:numCache/>
            </c:numRef>
          </c:val>
          <c:smooth val="0"/>
        </c:ser>
        <c:ser>
          <c:idx val="1"/>
          <c:order val="1"/>
          <c:tx>
            <c:strRef>
              <c:f>Dashboard!$L$77</c:f>
            </c:strRef>
          </c:tx>
          <c:spPr>
            <a:ln cmpd="sng">
              <a:solidFill>
                <a:srgbClr val="16E7CF"/>
              </a:solidFill>
            </a:ln>
          </c:spPr>
          <c:marker>
            <c:symbol val="none"/>
          </c:marker>
          <c:cat>
            <c:strRef>
              <c:f>Dashboard!$M$71:$P$71</c:f>
            </c:strRef>
          </c:cat>
          <c:val>
            <c:numRef>
              <c:f>Dashboard!$M$77:$P$77</c:f>
              <c:numCache/>
            </c:numRef>
          </c:val>
          <c:smooth val="0"/>
        </c:ser>
        <c:axId val="25229323"/>
        <c:axId val="242238023"/>
      </c:lineChart>
      <c:catAx>
        <c:axId val="25229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2238023"/>
      </c:catAx>
      <c:valAx>
        <c:axId val="242238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29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APROVEITAMENTO DO TREINAMENOT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Dashboard!$L$72</c:f>
            </c:strRef>
          </c:tx>
          <c:spPr>
            <a:ln cmpd="sng">
              <a:solidFill>
                <a:srgbClr val="00A2FF"/>
              </a:solidFill>
            </a:ln>
          </c:spPr>
          <c:marker>
            <c:symbol val="none"/>
          </c:marker>
          <c:cat>
            <c:strRef>
              <c:f>Dashboard!$M$71:$P$71</c:f>
            </c:strRef>
          </c:cat>
          <c:val>
            <c:numRef>
              <c:f>Dashboard!$M$72:$P$72</c:f>
              <c:numCache/>
            </c:numRef>
          </c:val>
          <c:smooth val="0"/>
        </c:ser>
        <c:ser>
          <c:idx val="1"/>
          <c:order val="1"/>
          <c:tx>
            <c:strRef>
              <c:f>Dashboard!$L$73</c:f>
            </c:strRef>
          </c:tx>
          <c:spPr>
            <a:ln cmpd="sng">
              <a:solidFill>
                <a:srgbClr val="16E7CF"/>
              </a:solidFill>
            </a:ln>
          </c:spPr>
          <c:marker>
            <c:symbol val="none"/>
          </c:marker>
          <c:cat>
            <c:strRef>
              <c:f>Dashboard!$M$71:$P$71</c:f>
            </c:strRef>
          </c:cat>
          <c:val>
            <c:numRef>
              <c:f>Dashboard!$M$73:$P$73</c:f>
              <c:numCache/>
            </c:numRef>
          </c:val>
          <c:smooth val="0"/>
        </c:ser>
        <c:ser>
          <c:idx val="2"/>
          <c:order val="2"/>
          <c:tx>
            <c:strRef>
              <c:f>Dashboard!$L$74</c:f>
            </c:strRef>
          </c:tx>
          <c:spPr>
            <a:ln cmpd="sng">
              <a:solidFill>
                <a:srgbClr val="61D836"/>
              </a:solidFill>
            </a:ln>
          </c:spPr>
          <c:marker>
            <c:symbol val="none"/>
          </c:marker>
          <c:cat>
            <c:strRef>
              <c:f>Dashboard!$M$71:$P$71</c:f>
            </c:strRef>
          </c:cat>
          <c:val>
            <c:numRef>
              <c:f>Dashboard!$M$74:$P$74</c:f>
              <c:numCache/>
            </c:numRef>
          </c:val>
          <c:smooth val="0"/>
        </c:ser>
        <c:axId val="1134033089"/>
        <c:axId val="2088946720"/>
      </c:lineChart>
      <c:catAx>
        <c:axId val="1134033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8946720"/>
      </c:catAx>
      <c:valAx>
        <c:axId val="2088946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033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876300</xdr:colOff>
      <xdr:row>39</xdr:row>
      <xdr:rowOff>76200</xdr:rowOff>
    </xdr:from>
    <xdr:ext cx="6648450" cy="30384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571500</xdr:colOff>
      <xdr:row>62</xdr:row>
      <xdr:rowOff>142875</xdr:rowOff>
    </xdr:from>
    <xdr:ext cx="7077075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142875</xdr:colOff>
      <xdr:row>0</xdr:row>
      <xdr:rowOff>19050</xdr:rowOff>
    </xdr:from>
    <xdr:ext cx="428625" cy="561975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7C2Xv0qzAxw" TargetMode="External"/><Relationship Id="rId22" Type="http://schemas.openxmlformats.org/officeDocument/2006/relationships/hyperlink" Target="https://youtu.be/Aa0aY8preG8" TargetMode="External"/><Relationship Id="rId21" Type="http://schemas.openxmlformats.org/officeDocument/2006/relationships/hyperlink" Target="https://youtu.be/QjUPGUcjwvw" TargetMode="External"/><Relationship Id="rId24" Type="http://schemas.openxmlformats.org/officeDocument/2006/relationships/hyperlink" Target="https://youtu.be/_Y1uHd-JB20" TargetMode="External"/><Relationship Id="rId23" Type="http://schemas.openxmlformats.org/officeDocument/2006/relationships/hyperlink" Target="https://youtu.be/hLgknnYOoAQ" TargetMode="External"/><Relationship Id="rId1" Type="http://schemas.openxmlformats.org/officeDocument/2006/relationships/hyperlink" Target="https://youtu.be/LNoWDoRjCqY" TargetMode="External"/><Relationship Id="rId2" Type="http://schemas.openxmlformats.org/officeDocument/2006/relationships/hyperlink" Target="https://youtu.be/Vv-lpdMThtw" TargetMode="External"/><Relationship Id="rId3" Type="http://schemas.openxmlformats.org/officeDocument/2006/relationships/hyperlink" Target="https://youtu.be/J05HITmKLpc" TargetMode="External"/><Relationship Id="rId4" Type="http://schemas.openxmlformats.org/officeDocument/2006/relationships/hyperlink" Target="https://youtu.be/6s1Szgo70V8" TargetMode="External"/><Relationship Id="rId9" Type="http://schemas.openxmlformats.org/officeDocument/2006/relationships/hyperlink" Target="https://youtu.be/BIvTaEJeiqw" TargetMode="External"/><Relationship Id="rId26" Type="http://schemas.openxmlformats.org/officeDocument/2006/relationships/hyperlink" Target="https://youtu.be/5QHmKhZngjE" TargetMode="External"/><Relationship Id="rId25" Type="http://schemas.openxmlformats.org/officeDocument/2006/relationships/hyperlink" Target="https://youtu.be/0IfadJu2Km0" TargetMode="External"/><Relationship Id="rId28" Type="http://schemas.openxmlformats.org/officeDocument/2006/relationships/hyperlink" Target="https://youtu.be/EiQjHGXGpa4" TargetMode="External"/><Relationship Id="rId27" Type="http://schemas.openxmlformats.org/officeDocument/2006/relationships/hyperlink" Target="https://youtu.be/DcawZajGbj8" TargetMode="External"/><Relationship Id="rId5" Type="http://schemas.openxmlformats.org/officeDocument/2006/relationships/hyperlink" Target="https://youtu.be/FuR2I4y7uEs" TargetMode="External"/><Relationship Id="rId6" Type="http://schemas.openxmlformats.org/officeDocument/2006/relationships/hyperlink" Target="https://youtu.be/roaeWh4Joe0" TargetMode="External"/><Relationship Id="rId29" Type="http://schemas.openxmlformats.org/officeDocument/2006/relationships/hyperlink" Target="https://youtu.be/GK6lXHWPw0w" TargetMode="External"/><Relationship Id="rId7" Type="http://schemas.openxmlformats.org/officeDocument/2006/relationships/hyperlink" Target="https://youtu.be/CFd2iZKA8cM" TargetMode="External"/><Relationship Id="rId8" Type="http://schemas.openxmlformats.org/officeDocument/2006/relationships/hyperlink" Target="https://youtu.be/xJ01J2SLtFE" TargetMode="External"/><Relationship Id="rId31" Type="http://schemas.openxmlformats.org/officeDocument/2006/relationships/hyperlink" Target="https://youtu.be/3pgHQvy9J2c" TargetMode="External"/><Relationship Id="rId30" Type="http://schemas.openxmlformats.org/officeDocument/2006/relationships/hyperlink" Target="https://youtu.be/cKBBck-xo-A" TargetMode="External"/><Relationship Id="rId11" Type="http://schemas.openxmlformats.org/officeDocument/2006/relationships/hyperlink" Target="https://youtu.be/hbCXzTDbiY8" TargetMode="External"/><Relationship Id="rId33" Type="http://schemas.openxmlformats.org/officeDocument/2006/relationships/hyperlink" Target="https://youtu.be/4bfgrSxFXAI" TargetMode="External"/><Relationship Id="rId10" Type="http://schemas.openxmlformats.org/officeDocument/2006/relationships/hyperlink" Target="https://youtu.be/Q_dzO9T0_Ss" TargetMode="External"/><Relationship Id="rId32" Type="http://schemas.openxmlformats.org/officeDocument/2006/relationships/hyperlink" Target="https://youtu.be/RVAB1V7_-Mk" TargetMode="External"/><Relationship Id="rId13" Type="http://schemas.openxmlformats.org/officeDocument/2006/relationships/hyperlink" Target="https://youtu.be/2bZJoQVrqe4" TargetMode="External"/><Relationship Id="rId12" Type="http://schemas.openxmlformats.org/officeDocument/2006/relationships/hyperlink" Target="https://youtu.be/m0ovtFg4Gx4" TargetMode="External"/><Relationship Id="rId34" Type="http://schemas.openxmlformats.org/officeDocument/2006/relationships/drawing" Target="../drawings/drawing7.xml"/><Relationship Id="rId15" Type="http://schemas.openxmlformats.org/officeDocument/2006/relationships/hyperlink" Target="https://youtu.be/TjzKyDOwew0" TargetMode="External"/><Relationship Id="rId14" Type="http://schemas.openxmlformats.org/officeDocument/2006/relationships/hyperlink" Target="https://youtu.be/c-hAlWwXPTo" TargetMode="External"/><Relationship Id="rId17" Type="http://schemas.openxmlformats.org/officeDocument/2006/relationships/hyperlink" Target="https://youtu.be/MYgdNPt8tm4" TargetMode="External"/><Relationship Id="rId16" Type="http://schemas.openxmlformats.org/officeDocument/2006/relationships/hyperlink" Target="https://youtu.be/BIhfvPg2YA8" TargetMode="External"/><Relationship Id="rId19" Type="http://schemas.openxmlformats.org/officeDocument/2006/relationships/hyperlink" Target="https://youtu.be/nQivbmhl05M" TargetMode="External"/><Relationship Id="rId18" Type="http://schemas.openxmlformats.org/officeDocument/2006/relationships/hyperlink" Target="https://youtu.be/e01Gxq9-e0E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11.29"/>
    <col customWidth="1" min="4" max="4" width="15.14"/>
    <col customWidth="1" min="5" max="5" width="14.57"/>
    <col customWidth="1" min="6" max="6" width="10.0"/>
    <col customWidth="1" min="7" max="7" width="8.71"/>
    <col customWidth="1" min="8" max="8" width="10.14"/>
    <col customWidth="1" min="9" max="10" width="8.71"/>
    <col customWidth="1" min="11" max="11" width="13.71"/>
    <col customWidth="1" min="12" max="12" width="18.0"/>
    <col customWidth="1" min="13" max="13" width="10.0"/>
    <col customWidth="1" min="14" max="14" width="17.57"/>
    <col customWidth="1" min="15" max="15" width="10.14"/>
    <col customWidth="1" min="16" max="16" width="10.0"/>
    <col customWidth="1" min="17" max="17" width="11.86"/>
    <col customWidth="1" min="18" max="18" width="10.29"/>
    <col customWidth="1" min="19" max="19" width="11.57"/>
    <col customWidth="1" min="20" max="20" width="12.57"/>
    <col customWidth="1" min="21" max="26" width="8.71"/>
  </cols>
  <sheetData>
    <row r="1" ht="12.75" customHeight="1">
      <c r="A1" s="1" t="s">
        <v>0</v>
      </c>
    </row>
    <row r="2" ht="12.75" customHeight="1"/>
    <row r="3" ht="12.75" customHeight="1"/>
    <row r="4" ht="12.75" customHeight="1"/>
    <row r="5" ht="12.75" customHeight="1">
      <c r="A5" s="2"/>
      <c r="B5" s="2"/>
      <c r="C5" s="3"/>
      <c r="D5" s="2"/>
      <c r="E5" s="2"/>
      <c r="F5" s="2"/>
      <c r="G5" s="2"/>
      <c r="H5" s="2"/>
      <c r="I5" s="2"/>
      <c r="J5" s="2"/>
    </row>
    <row r="6" ht="42.0" customHeight="1">
      <c r="A6" s="2"/>
      <c r="B6" s="4" t="s">
        <v>1</v>
      </c>
      <c r="C6" s="5">
        <v>46041.0</v>
      </c>
      <c r="D6" s="2"/>
      <c r="E6" s="6" t="s">
        <v>2</v>
      </c>
      <c r="F6" s="7" t="s">
        <v>3</v>
      </c>
      <c r="P6" s="8"/>
      <c r="Q6" s="9" t="s">
        <v>4</v>
      </c>
      <c r="S6" s="10" t="s">
        <v>5</v>
      </c>
    </row>
    <row r="7" ht="12.75" customHeight="1">
      <c r="A7" s="11"/>
      <c r="B7" s="11"/>
      <c r="C7" s="11"/>
      <c r="D7" s="2"/>
    </row>
    <row r="8" ht="12.75" customHeight="1">
      <c r="A8" s="2"/>
      <c r="B8" s="11"/>
      <c r="C8" s="11"/>
      <c r="D8" s="2"/>
    </row>
    <row r="9" ht="12.75" customHeight="1">
      <c r="A9" s="2"/>
      <c r="B9" s="12" t="s">
        <v>6</v>
      </c>
    </row>
    <row r="10" ht="12.75" customHeight="1">
      <c r="A10" s="2"/>
    </row>
    <row r="11" ht="12.75" customHeight="1">
      <c r="A11" s="2"/>
      <c r="B11" s="11"/>
      <c r="C11" s="11"/>
      <c r="D11" s="2"/>
    </row>
    <row r="12" ht="12.75" customHeight="1">
      <c r="A12" s="2"/>
      <c r="B12" s="13" t="s">
        <v>7</v>
      </c>
      <c r="D12" s="14">
        <v>5.0</v>
      </c>
    </row>
    <row r="13" ht="12.75" customHeight="1">
      <c r="A13" s="2"/>
      <c r="B13" s="13" t="s">
        <v>8</v>
      </c>
      <c r="D13" s="14">
        <v>4.0</v>
      </c>
    </row>
    <row r="14" ht="12.75" customHeight="1">
      <c r="A14" s="2"/>
      <c r="B14" s="15"/>
      <c r="C14" s="11"/>
      <c r="D14" s="2"/>
    </row>
    <row r="15" ht="12.75" customHeight="1">
      <c r="A15" s="2"/>
      <c r="B15" s="11"/>
      <c r="C15" s="11"/>
      <c r="D15" s="2"/>
    </row>
    <row r="16" ht="12.75" customHeight="1">
      <c r="A16" s="2"/>
      <c r="B16" s="12" t="s">
        <v>9</v>
      </c>
    </row>
    <row r="17" ht="12.75" customHeight="1">
      <c r="A17" s="2"/>
    </row>
    <row r="18" ht="12.75" customHeight="1">
      <c r="A18" s="2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ht="12.75" customHeight="1">
      <c r="A19" s="2"/>
      <c r="B19" s="17" t="s">
        <v>10</v>
      </c>
      <c r="C19" s="18"/>
      <c r="D19" s="19">
        <v>46041.0</v>
      </c>
      <c r="E19" s="20"/>
      <c r="F19" s="21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ht="12.75" customHeight="1">
      <c r="A20" s="2"/>
      <c r="B20" s="22" t="s">
        <v>11</v>
      </c>
      <c r="C20" s="23"/>
      <c r="D20" s="24">
        <v>20.0</v>
      </c>
      <c r="E20" s="24"/>
      <c r="F20" s="21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12.75" customHeight="1">
      <c r="A21" s="2"/>
      <c r="B21" s="25" t="s">
        <v>12</v>
      </c>
      <c r="C21" s="26"/>
      <c r="D21" s="27">
        <v>165.0</v>
      </c>
      <c r="E21" s="27"/>
      <c r="F21" s="28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12.75" customHeight="1">
      <c r="A22" s="2"/>
      <c r="B22" s="29" t="s">
        <v>13</v>
      </c>
      <c r="C22" s="26"/>
      <c r="D22" s="30">
        <v>80.0</v>
      </c>
      <c r="E22" s="30"/>
      <c r="F22" s="21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12.75" customHeight="1">
      <c r="A23" s="2"/>
      <c r="B23" s="25" t="s">
        <v>14</v>
      </c>
      <c r="C23" s="26"/>
      <c r="D23" s="30">
        <v>40.0</v>
      </c>
      <c r="E23" s="30"/>
      <c r="F23" s="21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12.75" customHeight="1">
      <c r="A24" s="2"/>
      <c r="B24" s="25" t="s">
        <v>15</v>
      </c>
      <c r="C24" s="26"/>
      <c r="D24" s="30">
        <v>75.0</v>
      </c>
      <c r="E24" s="30"/>
      <c r="F24" s="21"/>
      <c r="G24" s="16"/>
      <c r="H24" s="31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12.75" customHeight="1">
      <c r="A25" s="2"/>
      <c r="B25" s="25" t="s">
        <v>16</v>
      </c>
      <c r="C25" s="26"/>
      <c r="D25" s="30"/>
      <c r="E25" s="32"/>
      <c r="F25" s="21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12.75" customHeight="1">
      <c r="A26" s="2"/>
      <c r="B26" s="33" t="s">
        <v>17</v>
      </c>
      <c r="C26" s="26"/>
      <c r="D26" s="34">
        <f>IF(S6 = "Masculino", 495/(1.034-0.19077*LOG10(D24-D23)+0.1546*LOG10(D21))-450, 495/(1.29579 - 0.35004*LOG10(D24+D25-D23) + 0.221*LOG10(D21)) - 450)
</f>
        <v>7.375742277</v>
      </c>
      <c r="E26" s="35" t="str">
        <f t="array" ref="E26">495/(1.034-0.19077*LOG10(E24-E23)+0.1546*LOG10(E21))-450</f>
        <v>#NUM!</v>
      </c>
      <c r="F26" s="21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12.75" customHeight="1">
      <c r="A27" s="2"/>
      <c r="B27" s="29" t="s">
        <v>18</v>
      </c>
      <c r="C27" s="26"/>
      <c r="D27" s="36">
        <f t="array" ref="D27">(D26*D22)/100</f>
        <v>5.900593822</v>
      </c>
      <c r="E27" s="37" t="str">
        <f t="array" ref="E27">(E26*E22)/100</f>
        <v>#NUM!</v>
      </c>
      <c r="F27" s="38"/>
      <c r="G27" s="38"/>
      <c r="H27" s="15"/>
      <c r="I27" s="15"/>
      <c r="J27" s="15"/>
      <c r="K27" s="15"/>
      <c r="L27" s="38"/>
      <c r="M27" s="38"/>
      <c r="N27" s="10"/>
      <c r="O27" s="10"/>
      <c r="P27" s="10"/>
      <c r="Q27" s="10"/>
      <c r="R27" s="10"/>
      <c r="S27" s="10"/>
      <c r="T27" s="10"/>
    </row>
    <row r="28" ht="12.75" customHeight="1">
      <c r="A28" s="2"/>
      <c r="B28" s="39" t="s">
        <v>19</v>
      </c>
      <c r="C28" s="40"/>
      <c r="D28" s="41">
        <f t="array" ref="D28">D22-D27</f>
        <v>74.09940618</v>
      </c>
      <c r="E28" s="42" t="str">
        <f t="array" ref="E28">E22-E27</f>
        <v>#NUM!</v>
      </c>
      <c r="F28" s="43"/>
      <c r="G28" s="43"/>
      <c r="H28" s="15"/>
      <c r="I28" s="15"/>
      <c r="J28" s="15"/>
      <c r="K28" s="15"/>
      <c r="L28" s="43"/>
      <c r="M28" s="43"/>
      <c r="N28" s="10"/>
      <c r="O28" s="10"/>
      <c r="P28" s="10"/>
      <c r="Q28" s="10"/>
      <c r="R28" s="10"/>
      <c r="S28" s="10"/>
      <c r="T28" s="10"/>
    </row>
    <row r="29" ht="12.75" customHeight="1">
      <c r="A29" s="2"/>
      <c r="F29" s="21"/>
      <c r="G29" s="21"/>
      <c r="H29" s="15"/>
      <c r="I29" s="15"/>
      <c r="J29" s="15"/>
      <c r="K29" s="15"/>
      <c r="L29" s="21"/>
      <c r="M29" s="21"/>
      <c r="N29" s="21"/>
    </row>
    <row r="30" ht="12.75" customHeight="1">
      <c r="A30" s="2"/>
      <c r="B30" s="2"/>
      <c r="C30" s="2"/>
      <c r="D30" s="2"/>
    </row>
    <row r="31" ht="12.75" customHeight="1">
      <c r="A31" s="2"/>
      <c r="B31" s="44" t="s">
        <v>20</v>
      </c>
    </row>
    <row r="32" ht="12.75" customHeight="1">
      <c r="A32" s="2"/>
    </row>
    <row r="33" ht="12.75" customHeight="1"/>
    <row r="34" ht="12.75" customHeight="1">
      <c r="L34" s="45" t="s">
        <v>21</v>
      </c>
      <c r="N34" s="46"/>
      <c r="O34" s="47" t="s">
        <v>22</v>
      </c>
      <c r="Q34" s="46"/>
      <c r="R34" s="45" t="s">
        <v>23</v>
      </c>
    </row>
    <row r="35" ht="12.75" customHeight="1">
      <c r="L35" s="48">
        <f>'Semana de Reteste'!G24</f>
        <v>-1</v>
      </c>
      <c r="N35" s="46"/>
      <c r="O35" s="49" t="str">
        <f>(E26-D26)/-D26</f>
        <v>#NUM!</v>
      </c>
      <c r="Q35" s="46"/>
      <c r="R35" s="48" t="str">
        <f>(SUM(I41:I44)-SUM(G41:G44))/SUM(G41:G44)</f>
        <v>#DIV/0!</v>
      </c>
    </row>
    <row r="36" ht="12.75" customHeight="1">
      <c r="N36" s="46"/>
      <c r="Q36" s="46"/>
    </row>
    <row r="37" ht="12.75" customHeight="1">
      <c r="N37" s="46"/>
      <c r="Q37" s="46"/>
    </row>
    <row r="38" ht="12.75" customHeight="1">
      <c r="B38" s="50" t="s">
        <v>24</v>
      </c>
      <c r="G38" s="46"/>
      <c r="H38" s="46"/>
      <c r="I38" s="46"/>
      <c r="J38" s="51"/>
      <c r="K38" s="51"/>
      <c r="N38" s="46"/>
      <c r="Q38" s="46"/>
    </row>
    <row r="39" ht="11.25" customHeight="1">
      <c r="B39" s="46"/>
      <c r="C39" s="46"/>
      <c r="D39" s="46"/>
      <c r="E39" s="46"/>
      <c r="F39" s="46"/>
      <c r="G39" s="46"/>
      <c r="H39" s="46"/>
      <c r="I39" s="46"/>
      <c r="J39" s="10"/>
      <c r="K39" s="52"/>
      <c r="N39" s="46"/>
      <c r="Q39" s="46"/>
    </row>
    <row r="40" ht="12.75" customHeight="1">
      <c r="B40" s="53" t="s">
        <v>25</v>
      </c>
      <c r="C40" s="54"/>
      <c r="D40" s="55" t="s">
        <v>26</v>
      </c>
      <c r="E40" s="54"/>
      <c r="F40" s="56" t="s">
        <v>27</v>
      </c>
      <c r="G40" s="56" t="s">
        <v>28</v>
      </c>
      <c r="H40" s="56" t="s">
        <v>29</v>
      </c>
      <c r="I40" s="56" t="s">
        <v>28</v>
      </c>
      <c r="J40" s="10"/>
    </row>
    <row r="41" ht="27.75" customHeight="1">
      <c r="B41" s="57" t="s">
        <v>30</v>
      </c>
      <c r="C41" s="54"/>
      <c r="D41" s="58" t="str">
        <f>'Semana de Teste'!E12</f>
        <v>Remada Inclinada ( Barbell Row )</v>
      </c>
      <c r="E41" s="54"/>
      <c r="F41" s="59">
        <f>'Semana de Teste'!O12</f>
        <v>0</v>
      </c>
      <c r="G41" s="60">
        <f t="shared" ref="G41:G44" si="1">F41/$D$22</f>
        <v>0</v>
      </c>
      <c r="H41" s="59">
        <f>'Semana de Reteste'!S12</f>
        <v>0</v>
      </c>
      <c r="I41" s="60" t="str">
        <f t="shared" ref="I41:I44" si="2">H41/$E$22</f>
        <v>#DIV/0!</v>
      </c>
      <c r="J41" s="10"/>
    </row>
    <row r="42" ht="28.5" customHeight="1">
      <c r="B42" s="57" t="s">
        <v>31</v>
      </c>
      <c r="C42" s="54"/>
      <c r="D42" s="58" t="str">
        <f>'Semana de Teste'!E7</f>
        <v>Supino Reto ( Bench Press ) </v>
      </c>
      <c r="E42" s="54"/>
      <c r="F42" s="59">
        <f>'Semana de Teste'!O7</f>
        <v>90.656</v>
      </c>
      <c r="G42" s="60">
        <f t="shared" si="1"/>
        <v>1.1332</v>
      </c>
      <c r="H42" s="59">
        <f>'Semana de Reteste'!S7</f>
        <v>118.7892</v>
      </c>
      <c r="I42" s="60" t="str">
        <f t="shared" si="2"/>
        <v>#DIV/0!</v>
      </c>
      <c r="J42" s="10"/>
    </row>
    <row r="43" ht="27.75" customHeight="1">
      <c r="B43" s="57" t="s">
        <v>32</v>
      </c>
      <c r="C43" s="54"/>
      <c r="D43" s="58" t="str">
        <f>'Semana de Teste'!E17</f>
        <v>Agachamento com Barra nas Costas (Back Squat)</v>
      </c>
      <c r="E43" s="54"/>
      <c r="F43" s="59">
        <f>'Semana de Teste'!O17</f>
        <v>0</v>
      </c>
      <c r="G43" s="60">
        <f t="shared" si="1"/>
        <v>0</v>
      </c>
      <c r="H43" s="59">
        <f>'Semana de Reteste'!S17</f>
        <v>0</v>
      </c>
      <c r="I43" s="60" t="str">
        <f t="shared" si="2"/>
        <v>#DIV/0!</v>
      </c>
      <c r="J43" s="10"/>
    </row>
    <row r="44" ht="32.25" customHeight="1">
      <c r="B44" s="57" t="s">
        <v>33</v>
      </c>
      <c r="C44" s="54"/>
      <c r="D44" s="58" t="str">
        <f>'Semana de Teste'!E18</f>
        <v>Levantamento Terra ( Deadlift)</v>
      </c>
      <c r="E44" s="54"/>
      <c r="F44" s="59">
        <f>'Semana de Teste'!O18</f>
        <v>0</v>
      </c>
      <c r="G44" s="60">
        <f t="shared" si="1"/>
        <v>0</v>
      </c>
      <c r="H44" s="59">
        <f>'Semana de Reteste'!S18</f>
        <v>0</v>
      </c>
      <c r="I44" s="60" t="str">
        <f t="shared" si="2"/>
        <v>#DIV/0!</v>
      </c>
      <c r="J44" s="10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46.5" customHeight="1">
      <c r="L55" s="61" t="str">
        <f>D41</f>
        <v>Remada Inclinada ( Barbell Row )</v>
      </c>
      <c r="M55" s="62"/>
      <c r="N55" s="61" t="str">
        <f>D42</f>
        <v>Supino Reto ( Bench Press ) </v>
      </c>
      <c r="O55" s="62"/>
      <c r="P55" s="61" t="str">
        <f>D43</f>
        <v>Agachamento com Barra nas Costas (Back Squat)</v>
      </c>
      <c r="Q55" s="62"/>
      <c r="R55" s="61" t="str">
        <f>D44</f>
        <v>Levantamento Terra ( Deadlift)</v>
      </c>
      <c r="S55" s="62"/>
    </row>
    <row r="56" ht="45.0" customHeight="1">
      <c r="L56" s="63" t="str">
        <f>IF(F41=0,"Realize a Semana Teste", IF(I41=0, "Aguardando Teste Final",(I41-G41)/G41))</f>
        <v>Realize a Semana Teste</v>
      </c>
      <c r="M56" s="62"/>
      <c r="N56" s="63" t="str">
        <f>IF(F42=0,"Realize a Semana Teste",IF(I42 = 0, "Aguardando Teste Final", (I42 - G42) / G42))</f>
        <v>#DIV/0!</v>
      </c>
      <c r="O56" s="62"/>
      <c r="P56" s="63" t="str">
        <f>IF(F41=0,"Realize a Semana Teste",IF(I43 = 0, "Aguardando Teste Final", (I43-G43)/G43))</f>
        <v>Realize a Semana Teste</v>
      </c>
      <c r="Q56" s="62"/>
      <c r="R56" s="63" t="str">
        <f>IF(F41=0,"Realize a Semana Teste",IF(I44 = 0, "Aguardando Teste Final", (I44-G44)/G44))</f>
        <v>Realize a Semana Teste</v>
      </c>
      <c r="S56" s="62"/>
    </row>
    <row r="57" ht="12.75" customHeight="1"/>
    <row r="58" ht="12.75" customHeight="1"/>
    <row r="59" ht="12.75" customHeight="1"/>
    <row r="60" ht="12.75" customHeight="1"/>
    <row r="61" ht="12.75" customHeight="1">
      <c r="B61" s="64" t="s">
        <v>34</v>
      </c>
    </row>
    <row r="62" ht="12.75" customHeight="1"/>
    <row r="63" ht="12.75" customHeight="1"/>
    <row r="64" ht="28.5" customHeight="1">
      <c r="L64" s="65" t="s">
        <v>35</v>
      </c>
      <c r="M64" s="66"/>
      <c r="N64" s="62"/>
      <c r="O64" s="67">
        <f>SUM(O66:R66)/4</f>
        <v>0</v>
      </c>
    </row>
    <row r="65" ht="12.75" customHeight="1">
      <c r="L65" s="68" t="s">
        <v>36</v>
      </c>
      <c r="M65" s="69"/>
      <c r="N65" s="69"/>
      <c r="O65" s="70">
        <v>1.0</v>
      </c>
      <c r="P65" s="70">
        <v>2.0</v>
      </c>
      <c r="Q65" s="70">
        <v>3.0</v>
      </c>
      <c r="R65" s="71">
        <v>4.0</v>
      </c>
      <c r="S65" s="72"/>
      <c r="T65" s="72"/>
    </row>
    <row r="66" ht="21.75" customHeight="1">
      <c r="L66" s="73"/>
      <c r="M66" s="74"/>
      <c r="N66" s="74"/>
      <c r="O66" s="75">
        <f>Treinamento!N3/Treinamento!M3</f>
        <v>0</v>
      </c>
      <c r="P66" s="75">
        <f>Treinamento!N5/Treinamento!M5</f>
        <v>0</v>
      </c>
      <c r="Q66" s="75">
        <f>Treinamento!N7/Treinamento!M7</f>
        <v>0</v>
      </c>
      <c r="R66" s="76">
        <f>Treinamento!N9/Treinamento!M9</f>
        <v>0</v>
      </c>
      <c r="S66" s="72"/>
      <c r="T66" s="72"/>
    </row>
    <row r="67" ht="12.75" customHeight="1">
      <c r="S67" s="72"/>
      <c r="T67" s="72"/>
    </row>
    <row r="68" ht="12.75" customHeight="1">
      <c r="S68" s="72"/>
      <c r="T68" s="72"/>
    </row>
    <row r="69" ht="12.75" customHeight="1">
      <c r="L69" s="77" t="s">
        <v>37</v>
      </c>
      <c r="S69" s="72"/>
      <c r="T69" s="72"/>
    </row>
    <row r="70" ht="12.75" customHeight="1">
      <c r="S70" s="72"/>
      <c r="T70" s="72"/>
    </row>
    <row r="71" ht="12.75" customHeight="1">
      <c r="L71" s="78" t="s">
        <v>38</v>
      </c>
      <c r="M71" s="79">
        <v>1.0</v>
      </c>
      <c r="N71" s="79">
        <v>2.0</v>
      </c>
      <c r="O71" s="79">
        <v>3.0</v>
      </c>
      <c r="P71" s="80">
        <v>4.0</v>
      </c>
      <c r="Q71" s="72"/>
      <c r="R71" s="72"/>
      <c r="S71" s="72"/>
      <c r="T71" s="72"/>
    </row>
    <row r="72" ht="12.75" customHeight="1">
      <c r="L72" s="81" t="s">
        <v>39</v>
      </c>
      <c r="M72" s="82">
        <f>Treinamento!E6</f>
        <v>0.1466666667</v>
      </c>
      <c r="N72" s="83">
        <f>Treinamento!F6</f>
        <v>0</v>
      </c>
      <c r="O72" s="83">
        <f>Treinamento!G6</f>
        <v>0</v>
      </c>
      <c r="P72" s="84">
        <f>Treinamento!H6</f>
        <v>0</v>
      </c>
      <c r="Q72" s="72"/>
      <c r="R72" s="72"/>
      <c r="S72" s="72"/>
      <c r="T72" s="72"/>
    </row>
    <row r="73" ht="12.75" customHeight="1">
      <c r="L73" s="85" t="s">
        <v>40</v>
      </c>
      <c r="M73" s="86">
        <f>Treinamento!E7</f>
        <v>0</v>
      </c>
      <c r="N73" s="87">
        <f>Treinamento!F7</f>
        <v>0</v>
      </c>
      <c r="O73" s="87">
        <f>Treinamento!G7</f>
        <v>0</v>
      </c>
      <c r="P73" s="88">
        <f>Treinamento!H7</f>
        <v>0</v>
      </c>
      <c r="Q73" s="72"/>
      <c r="R73" s="72"/>
      <c r="S73" s="72"/>
      <c r="T73" s="72"/>
    </row>
    <row r="74" ht="12.75" customHeight="1">
      <c r="L74" s="89" t="s">
        <v>41</v>
      </c>
      <c r="M74" s="90">
        <f>Treinamento!E8</f>
        <v>0</v>
      </c>
      <c r="N74" s="91">
        <f>Treinamento!F8</f>
        <v>0</v>
      </c>
      <c r="O74" s="91">
        <f>Treinamento!G8</f>
        <v>0</v>
      </c>
      <c r="P74" s="92">
        <f>Treinamento!H8</f>
        <v>0</v>
      </c>
      <c r="Q74" s="72"/>
      <c r="R74" s="72"/>
      <c r="S74" s="72"/>
      <c r="T74" s="72"/>
    </row>
    <row r="75" ht="12.75" customHeight="1">
      <c r="L75" s="93"/>
      <c r="M75" s="94" t="str">
        <f>Treinamento!E9</f>
        <v/>
      </c>
      <c r="N75" s="94" t="str">
        <f>Treinamento!F9</f>
        <v/>
      </c>
      <c r="O75" s="94" t="str">
        <f>Treinamento!G9</f>
        <v/>
      </c>
      <c r="P75" s="94" t="str">
        <f>Treinamento!H9</f>
        <v/>
      </c>
      <c r="Q75" s="72"/>
      <c r="R75" s="72"/>
      <c r="S75" s="72"/>
      <c r="T75" s="72"/>
    </row>
    <row r="76" ht="12.75" customHeight="1">
      <c r="L76" s="95" t="s">
        <v>42</v>
      </c>
      <c r="M76" s="96">
        <f>Treinamento!E10</f>
        <v>0.04888888889</v>
      </c>
      <c r="N76" s="97">
        <f>Treinamento!F10</f>
        <v>0</v>
      </c>
      <c r="O76" s="97">
        <f>Treinamento!G10</f>
        <v>0</v>
      </c>
      <c r="P76" s="98">
        <f>Treinamento!H10</f>
        <v>0</v>
      </c>
      <c r="Q76" s="72"/>
      <c r="R76" s="72"/>
      <c r="S76" s="72"/>
      <c r="T76" s="72"/>
    </row>
    <row r="77" ht="12.75" customHeight="1">
      <c r="L77" s="99" t="s">
        <v>43</v>
      </c>
      <c r="M77" s="100">
        <v>0.8</v>
      </c>
      <c r="N77" s="100">
        <v>0.8</v>
      </c>
      <c r="O77" s="100">
        <v>0.8</v>
      </c>
      <c r="P77" s="100">
        <v>0.8</v>
      </c>
    </row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</sheetData>
  <mergeCells count="48">
    <mergeCell ref="A1:U4"/>
    <mergeCell ref="F6:O6"/>
    <mergeCell ref="Q6:R6"/>
    <mergeCell ref="S6:T6"/>
    <mergeCell ref="B9:T10"/>
    <mergeCell ref="B12:C12"/>
    <mergeCell ref="B16:T17"/>
    <mergeCell ref="B13:C13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1:T32"/>
    <mergeCell ref="O34:P34"/>
    <mergeCell ref="R34:S34"/>
    <mergeCell ref="L34:M34"/>
    <mergeCell ref="L35:M39"/>
    <mergeCell ref="O35:P39"/>
    <mergeCell ref="R35:S39"/>
    <mergeCell ref="B38:F38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P56:Q56"/>
    <mergeCell ref="R56:S56"/>
    <mergeCell ref="B61:T62"/>
    <mergeCell ref="L64:N64"/>
    <mergeCell ref="L65:N66"/>
    <mergeCell ref="L69:P70"/>
    <mergeCell ref="D44:E44"/>
    <mergeCell ref="L55:M55"/>
    <mergeCell ref="N55:O55"/>
    <mergeCell ref="P55:Q55"/>
    <mergeCell ref="R55:S55"/>
    <mergeCell ref="L56:M56"/>
    <mergeCell ref="N56:O56"/>
  </mergeCells>
  <conditionalFormatting sqref="O64 O66:R66 M72:P74 M76:P76">
    <cfRule type="cellIs" dxfId="0" priority="1" operator="equal">
      <formula>"100%"</formula>
    </cfRule>
  </conditionalFormatting>
  <conditionalFormatting sqref="O64 O66:R66 M72:P74 M76:P76">
    <cfRule type="cellIs" dxfId="1" priority="2" operator="between">
      <formula>"99%"</formula>
      <formula>"90%"</formula>
    </cfRule>
  </conditionalFormatting>
  <conditionalFormatting sqref="O64 O66:R66 M72:P74 M76:P76">
    <cfRule type="cellIs" dxfId="2" priority="3" operator="between">
      <formula>"89%"</formula>
      <formula>"80%"</formula>
    </cfRule>
  </conditionalFormatting>
  <conditionalFormatting sqref="O64 O66:R66 M72:P74 M76:P76">
    <cfRule type="cellIs" dxfId="3" priority="4" operator="between">
      <formula>"79%"</formula>
      <formula>"70%"</formula>
    </cfRule>
  </conditionalFormatting>
  <conditionalFormatting sqref="O64 O66:R66 M72:P74 M76:P76">
    <cfRule type="cellIs" dxfId="4" priority="5" operator="between">
      <formula>"69%"</formula>
      <formula>"60%"</formula>
    </cfRule>
  </conditionalFormatting>
  <conditionalFormatting sqref="O64 O66:R66 M72:P74 M76:P76">
    <cfRule type="cellIs" dxfId="5" priority="6" operator="between">
      <formula>"59%"</formula>
      <formula>"50%"</formula>
    </cfRule>
  </conditionalFormatting>
  <conditionalFormatting sqref="O64 O66:R66 M72:P74 M76:P76">
    <cfRule type="cellIs" dxfId="6" priority="7" operator="lessThan">
      <formula>"49%"</formula>
    </cfRule>
  </conditionalFormatting>
  <dataValidations>
    <dataValidation type="list" allowBlank="1" showErrorMessage="1" sqref="S6">
      <formula1>"Masculino,Feminino"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29"/>
    <col customWidth="1" hidden="1" min="2" max="2" width="8.86"/>
    <col customWidth="1" min="3" max="3" width="21.86"/>
    <col customWidth="1" min="4" max="4" width="8.86"/>
    <col customWidth="1" min="5" max="5" width="54.14"/>
    <col customWidth="1" min="6" max="6" width="8.86"/>
    <col customWidth="1" min="7" max="7" width="16.43"/>
    <col customWidth="1" min="8" max="8" width="13.57"/>
    <col customWidth="1" min="9" max="9" width="8.86"/>
    <col customWidth="1" min="10" max="10" width="13.43"/>
    <col customWidth="1" min="11" max="11" width="13.86"/>
    <col customWidth="1" min="12" max="12" width="8.71"/>
    <col customWidth="1" min="13" max="13" width="15.86"/>
    <col customWidth="1" min="14" max="14" width="14.43"/>
    <col customWidth="1" min="15" max="15" width="9.57"/>
    <col customWidth="1" min="16" max="16" width="8.71"/>
    <col customWidth="1" min="17" max="17" width="13.0"/>
    <col customWidth="1" min="18" max="19" width="13.71"/>
    <col customWidth="1" min="20" max="20" width="12.71"/>
    <col customWidth="1" min="21" max="23" width="13.71"/>
  </cols>
  <sheetData>
    <row r="1" ht="12.75" customHeight="1"/>
    <row r="2" ht="12.75" customHeight="1">
      <c r="C2" s="101" t="s">
        <v>44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102"/>
      <c r="Q2" s="103" t="s">
        <v>45</v>
      </c>
      <c r="R2" s="103" t="s">
        <v>46</v>
      </c>
      <c r="S2" s="103" t="s">
        <v>47</v>
      </c>
      <c r="T2" s="103" t="s">
        <v>48</v>
      </c>
      <c r="U2" s="103" t="s">
        <v>49</v>
      </c>
      <c r="V2" s="103" t="s">
        <v>50</v>
      </c>
      <c r="W2" s="103" t="s">
        <v>51</v>
      </c>
    </row>
    <row r="3" ht="12.75" customHeight="1">
      <c r="C3" s="104"/>
      <c r="O3" s="105"/>
      <c r="Q3" s="106" t="s">
        <v>52</v>
      </c>
      <c r="R3" s="106" t="s">
        <v>53</v>
      </c>
      <c r="S3" s="106" t="s">
        <v>54</v>
      </c>
      <c r="T3" s="106" t="s">
        <v>55</v>
      </c>
      <c r="U3" s="106" t="s">
        <v>56</v>
      </c>
      <c r="V3" s="106" t="s">
        <v>57</v>
      </c>
      <c r="W3" s="106" t="s">
        <v>58</v>
      </c>
    </row>
    <row r="4" ht="12.75" customHeight="1">
      <c r="C4" s="73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107"/>
    </row>
    <row r="5" ht="12.75" customHeight="1">
      <c r="C5" s="108" t="s">
        <v>59</v>
      </c>
      <c r="D5" s="109" t="s">
        <v>60</v>
      </c>
      <c r="E5" s="109" t="s">
        <v>61</v>
      </c>
      <c r="F5" s="109" t="s">
        <v>62</v>
      </c>
      <c r="I5" s="109" t="s">
        <v>63</v>
      </c>
      <c r="L5" s="109" t="s">
        <v>64</v>
      </c>
      <c r="O5" s="110" t="s">
        <v>65</v>
      </c>
    </row>
    <row r="6" ht="12.75" customHeight="1">
      <c r="C6" s="73"/>
      <c r="D6" s="74"/>
      <c r="E6" s="74"/>
      <c r="F6" s="111" t="s">
        <v>66</v>
      </c>
      <c r="G6" s="111" t="s">
        <v>67</v>
      </c>
      <c r="H6" s="111" t="s">
        <v>58</v>
      </c>
      <c r="I6" s="111" t="s">
        <v>66</v>
      </c>
      <c r="J6" s="111" t="s">
        <v>67</v>
      </c>
      <c r="K6" s="111" t="s">
        <v>58</v>
      </c>
      <c r="L6" s="111" t="s">
        <v>66</v>
      </c>
      <c r="M6" s="111" t="s">
        <v>67</v>
      </c>
      <c r="N6" s="111" t="s">
        <v>58</v>
      </c>
      <c r="O6" s="107"/>
    </row>
    <row r="7">
      <c r="C7" s="112" t="s">
        <v>68</v>
      </c>
      <c r="D7" s="113">
        <v>1.0</v>
      </c>
      <c r="E7" s="114" t="s">
        <v>69</v>
      </c>
      <c r="F7" s="115">
        <v>70.0</v>
      </c>
      <c r="G7" s="116">
        <v>5.0</v>
      </c>
      <c r="H7" s="117" t="s">
        <v>70</v>
      </c>
      <c r="I7" s="115">
        <v>80.0</v>
      </c>
      <c r="J7" s="116">
        <v>3.0</v>
      </c>
      <c r="K7" s="117" t="s">
        <v>70</v>
      </c>
      <c r="L7" s="115">
        <v>80.0</v>
      </c>
      <c r="M7" s="116">
        <v>4.0</v>
      </c>
      <c r="N7" s="117" t="s">
        <v>70</v>
      </c>
      <c r="O7" s="118">
        <f t="shared" ref="O7:O20" si="1">IF(M7=1,L7,(M7*L7*0.0333)+L7)</f>
        <v>90.656</v>
      </c>
    </row>
    <row r="8">
      <c r="C8" s="119"/>
      <c r="D8" s="113">
        <v>2.0</v>
      </c>
      <c r="E8" s="114" t="s">
        <v>71</v>
      </c>
      <c r="F8" s="115"/>
      <c r="G8" s="116"/>
      <c r="H8" s="117" t="s">
        <v>70</v>
      </c>
      <c r="I8" s="115"/>
      <c r="J8" s="116"/>
      <c r="K8" s="117" t="s">
        <v>70</v>
      </c>
      <c r="L8" s="115"/>
      <c r="M8" s="116"/>
      <c r="N8" s="117" t="s">
        <v>70</v>
      </c>
      <c r="O8" s="118">
        <f t="shared" si="1"/>
        <v>0</v>
      </c>
    </row>
    <row r="9">
      <c r="C9" s="119"/>
      <c r="D9" s="113">
        <v>3.0</v>
      </c>
      <c r="E9" s="114" t="s">
        <v>72</v>
      </c>
      <c r="F9" s="120"/>
      <c r="G9" s="121"/>
      <c r="H9" s="117" t="s">
        <v>70</v>
      </c>
      <c r="I9" s="120"/>
      <c r="J9" s="121"/>
      <c r="K9" s="117" t="s">
        <v>70</v>
      </c>
      <c r="L9" s="122"/>
      <c r="M9" s="123"/>
      <c r="N9" s="117" t="s">
        <v>70</v>
      </c>
      <c r="O9" s="118">
        <f t="shared" si="1"/>
        <v>0</v>
      </c>
    </row>
    <row r="10">
      <c r="C10" s="119"/>
      <c r="D10" s="113">
        <v>4.0</v>
      </c>
      <c r="E10" s="124" t="s">
        <v>73</v>
      </c>
      <c r="F10" s="120"/>
      <c r="G10" s="121"/>
      <c r="H10" s="117" t="s">
        <v>70</v>
      </c>
      <c r="I10" s="120"/>
      <c r="J10" s="121"/>
      <c r="K10" s="117" t="s">
        <v>70</v>
      </c>
      <c r="L10" s="122"/>
      <c r="M10" s="123"/>
      <c r="N10" s="117" t="s">
        <v>70</v>
      </c>
      <c r="O10" s="118">
        <f t="shared" si="1"/>
        <v>0</v>
      </c>
    </row>
    <row r="11">
      <c r="C11" s="119"/>
      <c r="D11" s="113">
        <v>5.0</v>
      </c>
      <c r="E11" s="124" t="s">
        <v>74</v>
      </c>
      <c r="F11" s="120"/>
      <c r="G11" s="121"/>
      <c r="H11" s="117" t="s">
        <v>70</v>
      </c>
      <c r="I11" s="120"/>
      <c r="J11" s="121"/>
      <c r="K11" s="117" t="s">
        <v>70</v>
      </c>
      <c r="L11" s="122"/>
      <c r="M11" s="123"/>
      <c r="N11" s="117" t="s">
        <v>70</v>
      </c>
      <c r="O11" s="118">
        <f t="shared" si="1"/>
        <v>0</v>
      </c>
    </row>
    <row r="12">
      <c r="C12" s="125" t="s">
        <v>75</v>
      </c>
      <c r="D12" s="126">
        <v>1.0</v>
      </c>
      <c r="E12" s="127" t="s">
        <v>76</v>
      </c>
      <c r="F12" s="128"/>
      <c r="G12" s="129"/>
      <c r="H12" s="130" t="s">
        <v>70</v>
      </c>
      <c r="I12" s="128"/>
      <c r="J12" s="129"/>
      <c r="K12" s="130" t="s">
        <v>70</v>
      </c>
      <c r="L12" s="131"/>
      <c r="M12" s="132"/>
      <c r="N12" s="130" t="s">
        <v>70</v>
      </c>
      <c r="O12" s="133">
        <f t="shared" si="1"/>
        <v>0</v>
      </c>
    </row>
    <row r="13">
      <c r="C13" s="119"/>
      <c r="D13" s="113">
        <v>2.0</v>
      </c>
      <c r="E13" s="124" t="s">
        <v>77</v>
      </c>
      <c r="F13" s="120"/>
      <c r="G13" s="121"/>
      <c r="H13" s="117" t="s">
        <v>70</v>
      </c>
      <c r="I13" s="120"/>
      <c r="J13" s="121"/>
      <c r="K13" s="117" t="s">
        <v>70</v>
      </c>
      <c r="L13" s="122"/>
      <c r="M13" s="123"/>
      <c r="N13" s="117" t="s">
        <v>70</v>
      </c>
      <c r="O13" s="118">
        <f t="shared" si="1"/>
        <v>0</v>
      </c>
    </row>
    <row r="14">
      <c r="C14" s="119"/>
      <c r="D14" s="113">
        <v>3.0</v>
      </c>
      <c r="E14" s="124" t="s">
        <v>78</v>
      </c>
      <c r="F14" s="120"/>
      <c r="G14" s="121"/>
      <c r="H14" s="117" t="s">
        <v>70</v>
      </c>
      <c r="I14" s="120"/>
      <c r="J14" s="121"/>
      <c r="K14" s="117" t="s">
        <v>70</v>
      </c>
      <c r="L14" s="122"/>
      <c r="M14" s="123"/>
      <c r="N14" s="117" t="s">
        <v>70</v>
      </c>
      <c r="O14" s="118">
        <f t="shared" si="1"/>
        <v>0</v>
      </c>
    </row>
    <row r="15">
      <c r="C15" s="119"/>
      <c r="D15" s="113">
        <v>4.0</v>
      </c>
      <c r="E15" s="124" t="s">
        <v>79</v>
      </c>
      <c r="F15" s="120"/>
      <c r="G15" s="121"/>
      <c r="H15" s="117" t="s">
        <v>70</v>
      </c>
      <c r="I15" s="120"/>
      <c r="J15" s="121"/>
      <c r="K15" s="117" t="s">
        <v>70</v>
      </c>
      <c r="L15" s="122"/>
      <c r="M15" s="123"/>
      <c r="N15" s="117" t="s">
        <v>70</v>
      </c>
      <c r="O15" s="118">
        <f t="shared" si="1"/>
        <v>0</v>
      </c>
    </row>
    <row r="16">
      <c r="C16" s="134"/>
      <c r="D16" s="135">
        <v>5.0</v>
      </c>
      <c r="E16" s="136" t="s">
        <v>80</v>
      </c>
      <c r="F16" s="137"/>
      <c r="G16" s="138"/>
      <c r="H16" s="139" t="s">
        <v>81</v>
      </c>
      <c r="I16" s="137"/>
      <c r="J16" s="138"/>
      <c r="K16" s="139" t="s">
        <v>70</v>
      </c>
      <c r="L16" s="140"/>
      <c r="M16" s="141"/>
      <c r="N16" s="139" t="s">
        <v>70</v>
      </c>
      <c r="O16" s="142">
        <f t="shared" si="1"/>
        <v>0</v>
      </c>
    </row>
    <row r="17">
      <c r="C17" s="112" t="s">
        <v>82</v>
      </c>
      <c r="D17" s="113">
        <v>1.0</v>
      </c>
      <c r="E17" s="143" t="s">
        <v>83</v>
      </c>
      <c r="F17" s="120"/>
      <c r="G17" s="121"/>
      <c r="H17" s="117" t="s">
        <v>70</v>
      </c>
      <c r="I17" s="120"/>
      <c r="J17" s="121"/>
      <c r="K17" s="117" t="s">
        <v>70</v>
      </c>
      <c r="L17" s="115"/>
      <c r="M17" s="116"/>
      <c r="N17" s="117" t="s">
        <v>70</v>
      </c>
      <c r="O17" s="118">
        <f t="shared" si="1"/>
        <v>0</v>
      </c>
    </row>
    <row r="18">
      <c r="C18" s="119"/>
      <c r="D18" s="113">
        <v>2.0</v>
      </c>
      <c r="E18" s="124" t="s">
        <v>84</v>
      </c>
      <c r="F18" s="120"/>
      <c r="G18" s="121"/>
      <c r="H18" s="117" t="s">
        <v>70</v>
      </c>
      <c r="I18" s="120"/>
      <c r="J18" s="121"/>
      <c r="K18" s="117" t="s">
        <v>70</v>
      </c>
      <c r="L18" s="115"/>
      <c r="M18" s="116"/>
      <c r="N18" s="117" t="s">
        <v>70</v>
      </c>
      <c r="O18" s="118">
        <f t="shared" si="1"/>
        <v>0</v>
      </c>
    </row>
    <row r="19">
      <c r="C19" s="119"/>
      <c r="D19" s="113">
        <v>3.0</v>
      </c>
      <c r="E19" s="124" t="s">
        <v>85</v>
      </c>
      <c r="F19" s="120"/>
      <c r="G19" s="121"/>
      <c r="H19" s="117" t="s">
        <v>70</v>
      </c>
      <c r="I19" s="120"/>
      <c r="J19" s="121"/>
      <c r="K19" s="117" t="s">
        <v>70</v>
      </c>
      <c r="L19" s="122"/>
      <c r="M19" s="123"/>
      <c r="N19" s="117" t="s">
        <v>70</v>
      </c>
      <c r="O19" s="118">
        <f t="shared" si="1"/>
        <v>0</v>
      </c>
    </row>
    <row r="20">
      <c r="C20" s="134"/>
      <c r="D20" s="135">
        <v>4.0</v>
      </c>
      <c r="E20" s="136" t="s">
        <v>86</v>
      </c>
      <c r="F20" s="137"/>
      <c r="G20" s="138"/>
      <c r="H20" s="139" t="s">
        <v>70</v>
      </c>
      <c r="I20" s="137"/>
      <c r="J20" s="138"/>
      <c r="K20" s="139" t="s">
        <v>70</v>
      </c>
      <c r="L20" s="140"/>
      <c r="M20" s="141"/>
      <c r="N20" s="139" t="s">
        <v>70</v>
      </c>
      <c r="O20" s="142">
        <f t="shared" si="1"/>
        <v>0</v>
      </c>
    </row>
    <row r="21" ht="12.75" customHeight="1"/>
    <row r="22" ht="12.75" customHeight="1"/>
    <row r="23" ht="21.0" customHeight="1">
      <c r="C23" s="144" t="s">
        <v>87</v>
      </c>
      <c r="D23" s="145">
        <v>2600.0</v>
      </c>
      <c r="E23" s="146"/>
      <c r="G23" s="147" t="s">
        <v>88</v>
      </c>
    </row>
    <row r="24" ht="26.25" customHeight="1">
      <c r="C24" s="148" t="s">
        <v>89</v>
      </c>
      <c r="D24" s="149">
        <f>((D23-504.1)/44.9)</f>
        <v>46.67928731</v>
      </c>
      <c r="E24" s="105"/>
    </row>
    <row r="25" ht="30.0" customHeight="1">
      <c r="C25" s="150" t="s">
        <v>90</v>
      </c>
      <c r="D25" s="151">
        <f>((D23/ 12)*0.06)</f>
        <v>13</v>
      </c>
      <c r="E25" s="107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</sheetData>
  <mergeCells count="15">
    <mergeCell ref="C5:C6"/>
    <mergeCell ref="C7:C11"/>
    <mergeCell ref="C12:C16"/>
    <mergeCell ref="C17:C20"/>
    <mergeCell ref="D23:E23"/>
    <mergeCell ref="G23:O33"/>
    <mergeCell ref="D24:E24"/>
    <mergeCell ref="D25:E25"/>
    <mergeCell ref="C2:O4"/>
    <mergeCell ref="D5:D6"/>
    <mergeCell ref="E5:E6"/>
    <mergeCell ref="F5:H5"/>
    <mergeCell ref="I5:K5"/>
    <mergeCell ref="L5:N5"/>
    <mergeCell ref="O5:O6"/>
  </mergeCells>
  <dataValidations>
    <dataValidation type="list" allowBlank="1" showErrorMessage="1" sqref="E16">
      <formula1>Tabelas!$X$30:$Z$30</formula1>
    </dataValidation>
    <dataValidation type="list" allowBlank="1" showErrorMessage="1" sqref="E10">
      <formula1>Tabelas!$X$35:$Z$35</formula1>
    </dataValidation>
    <dataValidation type="list" allowBlank="1" showErrorMessage="1" sqref="E14">
      <formula1>Tabelas!$X$28:$Z$28</formula1>
    </dataValidation>
    <dataValidation type="list" allowBlank="1" showErrorMessage="1" sqref="E7">
      <formula1>Tabelas!$X$32</formula1>
    </dataValidation>
    <dataValidation type="list" allowBlank="1" showErrorMessage="1" sqref="E20">
      <formula1>Tabelas!$X$41:$Z$41</formula1>
    </dataValidation>
    <dataValidation type="list" allowBlank="1" showErrorMessage="1" sqref="E9">
      <formula1>Tabelas!$X$34:$Z$34</formula1>
    </dataValidation>
    <dataValidation type="list" allowBlank="1" showErrorMessage="1" sqref="E18">
      <formula1>Tabelas!$X$39</formula1>
    </dataValidation>
    <dataValidation type="list" allowBlank="1" showErrorMessage="1" sqref="E12">
      <formula1>Tabelas!$X$26</formula1>
    </dataValidation>
    <dataValidation type="list" allowBlank="1" showErrorMessage="1" sqref="E13">
      <formula1>Tabelas!$X$27:$Z$27</formula1>
    </dataValidation>
    <dataValidation type="list" allowBlank="1" showErrorMessage="1" sqref="E17">
      <formula1>Tabelas!$X$38</formula1>
    </dataValidation>
    <dataValidation type="list" allowBlank="1" showErrorMessage="1" sqref="E19">
      <formula1>Tabelas!$X$40:$Z$40</formula1>
    </dataValidation>
    <dataValidation type="list" allowBlank="1" showErrorMessage="1" sqref="E11">
      <formula1>Tabelas!$X$36:$Z$36</formula1>
    </dataValidation>
    <dataValidation type="list" allowBlank="1" showErrorMessage="1" sqref="E8">
      <formula1>Tabelas!$X$33:$Z$33</formula1>
    </dataValidation>
    <dataValidation type="list" allowBlank="1" showErrorMessage="1" sqref="E15">
      <formula1>Tabelas!$X$29:$Z$29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.29"/>
    <col customWidth="1" hidden="1" min="3" max="3" width="8.86"/>
    <col customWidth="1" min="4" max="4" width="21.86"/>
    <col customWidth="1" min="5" max="5" width="21.71"/>
    <col customWidth="1" min="6" max="6" width="11.71"/>
    <col customWidth="1" min="7" max="7" width="57.71"/>
    <col customWidth="1" min="8" max="8" width="12.43"/>
    <col customWidth="1" min="9" max="9" width="11.86"/>
    <col customWidth="1" min="10" max="10" width="11.14"/>
    <col customWidth="1" min="11" max="11" width="12.29"/>
    <col customWidth="1" min="12" max="14" width="8.71"/>
    <col customWidth="1" min="15" max="15" width="16.43"/>
    <col customWidth="1" min="16" max="16" width="19.29"/>
    <col customWidth="1" min="17" max="17" width="16.14"/>
    <col customWidth="1" min="18" max="18" width="10.29"/>
    <col customWidth="1" min="19" max="19" width="20.57"/>
    <col customWidth="1" min="20" max="20" width="26.43"/>
    <col customWidth="1" min="21" max="21" width="16.14"/>
    <col customWidth="1" min="22" max="22" width="11.57"/>
    <col customWidth="1" min="23" max="23" width="28.43"/>
    <col customWidth="1" min="24" max="26" width="16.43"/>
    <col customWidth="1" min="27" max="27" width="14.43"/>
    <col customWidth="1" min="28" max="28" width="42.57"/>
    <col customWidth="1" min="29" max="32" width="14.43"/>
  </cols>
  <sheetData>
    <row r="1" ht="12.75" customHeight="1">
      <c r="D1" s="152"/>
      <c r="E1" s="152"/>
      <c r="F1" s="152"/>
      <c r="G1" s="152"/>
      <c r="H1" s="152"/>
      <c r="J1" s="153"/>
      <c r="K1" s="153"/>
      <c r="L1" s="153"/>
      <c r="M1" s="153"/>
      <c r="N1" s="153"/>
      <c r="O1" s="153"/>
      <c r="Q1" s="154" t="s">
        <v>45</v>
      </c>
      <c r="R1" s="154" t="s">
        <v>46</v>
      </c>
      <c r="S1" s="154" t="s">
        <v>47</v>
      </c>
      <c r="T1" s="154" t="s">
        <v>48</v>
      </c>
      <c r="U1" s="154" t="s">
        <v>49</v>
      </c>
      <c r="V1" s="154" t="s">
        <v>91</v>
      </c>
      <c r="W1" s="154" t="s">
        <v>92</v>
      </c>
      <c r="X1" s="155"/>
      <c r="Y1" s="155"/>
      <c r="Z1" s="155"/>
      <c r="AA1" s="155"/>
      <c r="AB1" s="155"/>
      <c r="AC1" s="155"/>
      <c r="AD1" s="155"/>
      <c r="AE1" s="155"/>
      <c r="AF1" s="155"/>
    </row>
    <row r="2" ht="33.0" customHeight="1">
      <c r="D2" s="152"/>
      <c r="E2" s="152"/>
      <c r="F2" s="152"/>
      <c r="G2" s="152"/>
      <c r="H2" s="152"/>
      <c r="J2" s="153"/>
      <c r="K2" s="153"/>
      <c r="L2" s="153"/>
      <c r="M2" s="153"/>
      <c r="N2" s="153"/>
      <c r="O2" s="153"/>
      <c r="Q2" s="156" t="s">
        <v>52</v>
      </c>
      <c r="R2" s="156" t="s">
        <v>93</v>
      </c>
      <c r="S2" s="156" t="s">
        <v>94</v>
      </c>
      <c r="T2" s="156" t="s">
        <v>58</v>
      </c>
      <c r="U2" s="156" t="s">
        <v>95</v>
      </c>
      <c r="V2" s="156" t="s">
        <v>96</v>
      </c>
      <c r="W2" s="156" t="s">
        <v>58</v>
      </c>
      <c r="X2" s="157"/>
      <c r="Y2" s="157"/>
      <c r="Z2" s="157"/>
      <c r="AA2" s="157"/>
      <c r="AB2" s="157"/>
      <c r="AC2" s="157"/>
      <c r="AD2" s="157"/>
      <c r="AE2" s="157"/>
      <c r="AF2" s="157"/>
    </row>
    <row r="3" ht="24.0" customHeight="1">
      <c r="D3" s="158" t="s">
        <v>37</v>
      </c>
      <c r="E3" s="69"/>
      <c r="F3" s="69"/>
      <c r="G3" s="69"/>
      <c r="H3" s="102"/>
      <c r="J3" s="153"/>
      <c r="K3" s="153"/>
      <c r="L3" s="153"/>
      <c r="M3" s="99">
        <v>5.0</v>
      </c>
      <c r="N3" s="159">
        <f>COUNTIF(Q3:W3,TRUE)</f>
        <v>0</v>
      </c>
      <c r="O3" s="153"/>
      <c r="P3" s="160">
        <v>1.0</v>
      </c>
      <c r="Q3" s="161" t="b">
        <v>0</v>
      </c>
      <c r="R3" s="161" t="b">
        <v>0</v>
      </c>
      <c r="S3" s="161" t="b">
        <v>0</v>
      </c>
      <c r="T3" s="162"/>
      <c r="U3" s="163" t="b">
        <v>0</v>
      </c>
      <c r="V3" s="163" t="b">
        <v>0</v>
      </c>
      <c r="W3" s="162"/>
      <c r="X3" s="164"/>
      <c r="Y3" s="164"/>
      <c r="Z3" s="164"/>
      <c r="AA3" s="164"/>
      <c r="AB3" s="164"/>
      <c r="AC3" s="164"/>
      <c r="AD3" s="164"/>
      <c r="AE3" s="164"/>
      <c r="AF3" s="164"/>
    </row>
    <row r="4" ht="14.25" customHeight="1">
      <c r="D4" s="73"/>
      <c r="E4" s="74"/>
      <c r="F4" s="74"/>
      <c r="G4" s="74"/>
      <c r="H4" s="107"/>
      <c r="J4" s="153"/>
      <c r="K4" s="153"/>
      <c r="L4" s="153"/>
      <c r="M4" s="159"/>
      <c r="N4" s="159"/>
      <c r="O4" s="153"/>
      <c r="Q4" s="165">
        <f>Dashboard!C6</f>
        <v>46041</v>
      </c>
      <c r="R4" s="165">
        <f t="shared" ref="R4:W4" si="1">Q4+1</f>
        <v>46042</v>
      </c>
      <c r="S4" s="165">
        <f t="shared" si="1"/>
        <v>46043</v>
      </c>
      <c r="T4" s="166">
        <f t="shared" si="1"/>
        <v>46044</v>
      </c>
      <c r="U4" s="165">
        <f t="shared" si="1"/>
        <v>46045</v>
      </c>
      <c r="V4" s="165">
        <f t="shared" si="1"/>
        <v>46046</v>
      </c>
      <c r="W4" s="166">
        <f t="shared" si="1"/>
        <v>46047</v>
      </c>
      <c r="X4" s="167"/>
      <c r="Y4" s="167"/>
      <c r="Z4" s="167"/>
      <c r="AA4" s="167"/>
      <c r="AB4" s="167"/>
      <c r="AC4" s="167"/>
      <c r="AD4" s="167"/>
      <c r="AE4" s="167"/>
      <c r="AF4" s="167"/>
    </row>
    <row r="5" ht="32.25" customHeight="1">
      <c r="D5" s="168" t="s">
        <v>97</v>
      </c>
      <c r="E5" s="169">
        <v>1.0</v>
      </c>
      <c r="F5" s="170">
        <v>2.0</v>
      </c>
      <c r="G5" s="170">
        <v>3.0</v>
      </c>
      <c r="H5" s="171">
        <v>4.0</v>
      </c>
      <c r="I5" s="72"/>
      <c r="J5" s="172"/>
      <c r="K5" s="172"/>
      <c r="L5" s="172"/>
      <c r="M5" s="99">
        <v>5.0</v>
      </c>
      <c r="N5" s="159">
        <f>COUNTIF(Q5:W5,TRUE)</f>
        <v>0</v>
      </c>
      <c r="O5" s="153"/>
      <c r="P5" s="160">
        <v>2.0</v>
      </c>
      <c r="Q5" s="163" t="b">
        <v>0</v>
      </c>
      <c r="R5" s="163" t="b">
        <v>0</v>
      </c>
      <c r="S5" s="163" t="b">
        <v>0</v>
      </c>
      <c r="T5" s="162"/>
      <c r="U5" s="163" t="b">
        <v>0</v>
      </c>
      <c r="V5" s="163" t="b">
        <v>0</v>
      </c>
      <c r="W5" s="162"/>
      <c r="X5" s="164"/>
      <c r="Y5" s="164"/>
      <c r="Z5" s="164"/>
      <c r="AA5" s="164"/>
      <c r="AB5" s="164"/>
      <c r="AC5" s="164"/>
      <c r="AD5" s="164"/>
      <c r="AE5" s="164"/>
      <c r="AF5" s="164"/>
    </row>
    <row r="6" ht="12.75" customHeight="1">
      <c r="D6" s="173" t="s">
        <v>39</v>
      </c>
      <c r="E6" s="82">
        <f>AVERAGE(O13:O17)</f>
        <v>0.1466666667</v>
      </c>
      <c r="F6" s="83">
        <f>AVERAGE(O28:O32)</f>
        <v>0</v>
      </c>
      <c r="G6" s="83">
        <f>AVERAGE(O43:O47)</f>
        <v>0</v>
      </c>
      <c r="H6" s="84">
        <f>AVERAGE(O58:O62)</f>
        <v>0</v>
      </c>
      <c r="I6" s="72"/>
      <c r="J6" s="172"/>
      <c r="K6" s="172"/>
      <c r="L6" s="172"/>
      <c r="M6" s="159"/>
      <c r="N6" s="159"/>
      <c r="O6" s="153"/>
      <c r="Q6" s="174">
        <f>W4+1</f>
        <v>46048</v>
      </c>
      <c r="R6" s="174">
        <f t="shared" ref="R6:W6" si="2">Q6+1</f>
        <v>46049</v>
      </c>
      <c r="S6" s="174">
        <f t="shared" si="2"/>
        <v>46050</v>
      </c>
      <c r="T6" s="175">
        <f t="shared" si="2"/>
        <v>46051</v>
      </c>
      <c r="U6" s="174">
        <f t="shared" si="2"/>
        <v>46052</v>
      </c>
      <c r="V6" s="174">
        <f t="shared" si="2"/>
        <v>46053</v>
      </c>
      <c r="W6" s="175">
        <f t="shared" si="2"/>
        <v>46054</v>
      </c>
      <c r="X6" s="164"/>
      <c r="Y6" s="164"/>
      <c r="Z6" s="164"/>
      <c r="AA6" s="164"/>
      <c r="AB6" s="164"/>
      <c r="AC6" s="164"/>
      <c r="AD6" s="164"/>
      <c r="AE6" s="164"/>
      <c r="AF6" s="164"/>
    </row>
    <row r="7" ht="24.0" customHeight="1">
      <c r="D7" s="176" t="s">
        <v>40</v>
      </c>
      <c r="E7" s="177">
        <f>AVERAGE(O18:O22)</f>
        <v>0</v>
      </c>
      <c r="F7" s="87">
        <f>AVERAGE(O33:O37)</f>
        <v>0</v>
      </c>
      <c r="G7" s="87">
        <f>AVERAGE(O48:O52)</f>
        <v>0</v>
      </c>
      <c r="H7" s="88">
        <f>AVERAGE(O63:O67)</f>
        <v>0</v>
      </c>
      <c r="I7" s="72"/>
      <c r="J7" s="172"/>
      <c r="K7" s="172"/>
      <c r="L7" s="172"/>
      <c r="M7" s="99">
        <v>5.0</v>
      </c>
      <c r="N7" s="159">
        <f>COUNTIF(Q7:W7,TRUE)</f>
        <v>0</v>
      </c>
      <c r="O7" s="153"/>
      <c r="P7" s="160">
        <v>3.0</v>
      </c>
      <c r="Q7" s="163" t="b">
        <v>0</v>
      </c>
      <c r="R7" s="163" t="b">
        <v>0</v>
      </c>
      <c r="S7" s="163" t="b">
        <v>0</v>
      </c>
      <c r="T7" s="162"/>
      <c r="U7" s="163" t="b">
        <v>0</v>
      </c>
      <c r="V7" s="163" t="b">
        <v>0</v>
      </c>
      <c r="W7" s="162"/>
      <c r="X7" s="164"/>
      <c r="Y7" s="164"/>
      <c r="Z7" s="164"/>
      <c r="AA7" s="164"/>
      <c r="AB7" s="164"/>
      <c r="AC7" s="164"/>
      <c r="AD7" s="164"/>
      <c r="AE7" s="164"/>
      <c r="AF7" s="164"/>
    </row>
    <row r="8" ht="12.75" customHeight="1">
      <c r="D8" s="178" t="s">
        <v>41</v>
      </c>
      <c r="E8" s="90">
        <f>AVERAGE(O23:O26)</f>
        <v>0</v>
      </c>
      <c r="F8" s="91">
        <f>AVERAGE(O38:O41)</f>
        <v>0</v>
      </c>
      <c r="G8" s="91">
        <f>AVERAGE(O53:O56)</f>
        <v>0</v>
      </c>
      <c r="H8" s="92">
        <f>AVERAGE(O68:O71)</f>
        <v>0</v>
      </c>
      <c r="I8" s="72"/>
      <c r="J8" s="172"/>
      <c r="K8" s="172"/>
      <c r="L8" s="172"/>
      <c r="M8" s="159"/>
      <c r="N8" s="159"/>
      <c r="O8" s="153"/>
      <c r="Q8" s="174">
        <f>W6+1</f>
        <v>46055</v>
      </c>
      <c r="R8" s="174">
        <f t="shared" ref="R8:W8" si="3">Q8+1</f>
        <v>46056</v>
      </c>
      <c r="S8" s="174">
        <f t="shared" si="3"/>
        <v>46057</v>
      </c>
      <c r="T8" s="175">
        <f t="shared" si="3"/>
        <v>46058</v>
      </c>
      <c r="U8" s="174">
        <f t="shared" si="3"/>
        <v>46059</v>
      </c>
      <c r="V8" s="174">
        <f t="shared" si="3"/>
        <v>46060</v>
      </c>
      <c r="W8" s="175">
        <f t="shared" si="3"/>
        <v>46061</v>
      </c>
      <c r="X8" s="164"/>
      <c r="Y8" s="164"/>
      <c r="Z8" s="164"/>
      <c r="AA8" s="164"/>
      <c r="AB8" s="164"/>
      <c r="AC8" s="164"/>
      <c r="AD8" s="164"/>
      <c r="AE8" s="164"/>
      <c r="AF8" s="164"/>
    </row>
    <row r="9" ht="18.0" customHeight="1">
      <c r="D9" s="93"/>
      <c r="E9" s="179"/>
      <c r="F9" s="179"/>
      <c r="G9" s="179"/>
      <c r="H9" s="179"/>
      <c r="I9" s="72"/>
      <c r="J9" s="172"/>
      <c r="K9" s="172"/>
      <c r="L9" s="172"/>
      <c r="M9" s="99">
        <v>5.0</v>
      </c>
      <c r="N9" s="159">
        <f>COUNTIF(Q9:W9,TRUE)</f>
        <v>0</v>
      </c>
      <c r="O9" s="153"/>
      <c r="P9" s="160">
        <v>4.0</v>
      </c>
      <c r="Q9" s="163" t="b">
        <v>0</v>
      </c>
      <c r="R9" s="163" t="b">
        <v>0</v>
      </c>
      <c r="S9" s="163" t="b">
        <v>0</v>
      </c>
      <c r="T9" s="162"/>
      <c r="U9" s="163" t="b">
        <v>0</v>
      </c>
      <c r="V9" s="163" t="b">
        <v>0</v>
      </c>
      <c r="W9" s="162"/>
      <c r="X9" s="164"/>
      <c r="Y9" s="164"/>
      <c r="Z9" s="164"/>
      <c r="AA9" s="164"/>
      <c r="AB9" s="164"/>
      <c r="AC9" s="164"/>
      <c r="AD9" s="164"/>
      <c r="AE9" s="164"/>
      <c r="AF9" s="164"/>
    </row>
    <row r="10" ht="17.25" customHeight="1">
      <c r="D10" s="95" t="s">
        <v>42</v>
      </c>
      <c r="E10" s="96">
        <f t="shared" ref="E10:H10" si="4">AVERAGE(E6:E8)</f>
        <v>0.04888888889</v>
      </c>
      <c r="F10" s="97">
        <f t="shared" si="4"/>
        <v>0</v>
      </c>
      <c r="G10" s="97">
        <f t="shared" si="4"/>
        <v>0</v>
      </c>
      <c r="H10" s="98">
        <f t="shared" si="4"/>
        <v>0</v>
      </c>
      <c r="I10" s="72"/>
      <c r="J10" s="172"/>
      <c r="K10" s="172"/>
      <c r="L10" s="172"/>
      <c r="M10" s="153"/>
      <c r="N10" s="153"/>
      <c r="O10" s="153"/>
      <c r="Q10" s="174">
        <f>W8+1</f>
        <v>46062</v>
      </c>
      <c r="R10" s="174">
        <f t="shared" ref="R10:W10" si="5">Q10+1</f>
        <v>46063</v>
      </c>
      <c r="S10" s="174">
        <f t="shared" si="5"/>
        <v>46064</v>
      </c>
      <c r="T10" s="175">
        <f t="shared" si="5"/>
        <v>46065</v>
      </c>
      <c r="U10" s="174">
        <f t="shared" si="5"/>
        <v>46066</v>
      </c>
      <c r="V10" s="174">
        <f t="shared" si="5"/>
        <v>46067</v>
      </c>
      <c r="W10" s="175">
        <f t="shared" si="5"/>
        <v>46068</v>
      </c>
      <c r="X10" s="164"/>
      <c r="Y10" s="164"/>
      <c r="AA10" s="164"/>
      <c r="AB10" s="164"/>
      <c r="AC10" s="164"/>
      <c r="AD10" s="164"/>
      <c r="AE10" s="164"/>
      <c r="AF10" s="164"/>
    </row>
    <row r="11" ht="12.75" customHeight="1">
      <c r="X11" s="164"/>
      <c r="Y11" s="164"/>
      <c r="AA11" s="164"/>
      <c r="AB11" s="164"/>
      <c r="AC11" s="164"/>
      <c r="AD11" s="164"/>
      <c r="AE11" s="164"/>
      <c r="AF11" s="164"/>
    </row>
    <row r="12" ht="15.0" customHeight="1">
      <c r="D12" s="180" t="s">
        <v>98</v>
      </c>
      <c r="E12" s="181" t="s">
        <v>99</v>
      </c>
      <c r="F12" s="62"/>
      <c r="G12" s="182" t="s">
        <v>61</v>
      </c>
      <c r="H12" s="183" t="s">
        <v>100</v>
      </c>
      <c r="I12" s="183" t="s">
        <v>101</v>
      </c>
      <c r="J12" s="184" t="s">
        <v>102</v>
      </c>
      <c r="K12" s="183" t="s">
        <v>55</v>
      </c>
      <c r="L12" s="185" t="s">
        <v>103</v>
      </c>
      <c r="M12" s="185" t="s">
        <v>104</v>
      </c>
      <c r="N12" s="185" t="s">
        <v>105</v>
      </c>
      <c r="O12" s="186" t="s">
        <v>61</v>
      </c>
      <c r="P12" s="186" t="s">
        <v>98</v>
      </c>
      <c r="Q12" s="187"/>
      <c r="R12" s="188"/>
      <c r="S12" s="189"/>
      <c r="T12" s="190"/>
      <c r="U12" s="191"/>
      <c r="V12" s="192"/>
      <c r="W12" s="193"/>
      <c r="X12" s="164"/>
      <c r="Y12" s="164"/>
      <c r="AA12" s="164"/>
      <c r="AB12" s="164"/>
      <c r="AC12" s="164"/>
      <c r="AD12" s="164"/>
      <c r="AE12" s="164"/>
      <c r="AF12" s="164"/>
    </row>
    <row r="13" ht="19.5" customHeight="1">
      <c r="D13" s="194">
        <v>1.0</v>
      </c>
      <c r="E13" s="195" t="s">
        <v>106</v>
      </c>
      <c r="F13" s="196">
        <v>1.0</v>
      </c>
      <c r="G13" s="197" t="str">
        <f>'Semana de Teste'!E7</f>
        <v>Supino Reto ( Bench Press ) </v>
      </c>
      <c r="H13" s="198">
        <v>0.6</v>
      </c>
      <c r="I13" s="199">
        <f t="array" ref="I13">H13*'Semana de Teste'!$O$7</f>
        <v>54.3936</v>
      </c>
      <c r="J13" s="200">
        <v>20.0</v>
      </c>
      <c r="K13" s="201">
        <v>0.001041666666666667</v>
      </c>
      <c r="L13" s="202">
        <v>20.0</v>
      </c>
      <c r="M13" s="203">
        <v>13.0</v>
      </c>
      <c r="N13" s="204">
        <v>11.0</v>
      </c>
      <c r="O13" s="205">
        <f t="array" ref="O13">SUM(L13:N13)/(J13*3)</f>
        <v>0.7333333333</v>
      </c>
      <c r="P13" s="206">
        <f>AVERAGE(O13:O26)</f>
        <v>0.05238095238</v>
      </c>
      <c r="Q13" s="207"/>
      <c r="R13" s="208" t="s">
        <v>97</v>
      </c>
      <c r="S13" s="209" t="s">
        <v>99</v>
      </c>
      <c r="T13" s="209" t="s">
        <v>107</v>
      </c>
      <c r="U13" s="209" t="s">
        <v>108</v>
      </c>
      <c r="V13" s="209" t="s">
        <v>109</v>
      </c>
      <c r="W13" s="209" t="s">
        <v>110</v>
      </c>
      <c r="X13" s="209" t="s">
        <v>111</v>
      </c>
      <c r="Y13" s="209" t="s">
        <v>112</v>
      </c>
      <c r="Z13" s="210" t="s">
        <v>113</v>
      </c>
      <c r="AB13" s="164"/>
      <c r="AE13" s="211"/>
      <c r="AF13" s="164"/>
    </row>
    <row r="14" ht="19.5" customHeight="1">
      <c r="D14" s="119"/>
      <c r="E14" s="212"/>
      <c r="F14" s="213"/>
      <c r="G14" s="214" t="str">
        <f>'Semana de Teste'!E8</f>
        <v>Supino Inclinado com Barra</v>
      </c>
      <c r="H14" s="215">
        <v>0.6</v>
      </c>
      <c r="I14" s="199">
        <f t="array" ref="I14">H14*'Semana de Teste'!$O$8</f>
        <v>0</v>
      </c>
      <c r="J14" s="200">
        <v>20.0</v>
      </c>
      <c r="K14" s="201">
        <v>0.001041666666666667</v>
      </c>
      <c r="L14" s="202"/>
      <c r="M14" s="203"/>
      <c r="N14" s="204"/>
      <c r="O14" s="216">
        <f t="array" ref="O14">SUM(L14:N14)/(J14*3)</f>
        <v>0</v>
      </c>
      <c r="P14" s="217"/>
      <c r="Q14" s="207"/>
      <c r="R14" s="218">
        <v>1.0</v>
      </c>
      <c r="S14" s="219">
        <v>1.0</v>
      </c>
      <c r="T14" s="220">
        <v>1.0</v>
      </c>
      <c r="U14" s="221">
        <f>Dashboard!$D$12*Dashboard!$D$13</f>
        <v>20</v>
      </c>
      <c r="V14" s="222">
        <v>0.6</v>
      </c>
      <c r="W14" s="223">
        <f>V14*'Semana de Teste'!$D$25</f>
        <v>7.8</v>
      </c>
      <c r="X14" s="224"/>
      <c r="Y14" s="225" t="s">
        <v>114</v>
      </c>
      <c r="Z14" s="226"/>
      <c r="AE14" s="211"/>
      <c r="AF14" s="164"/>
    </row>
    <row r="15" ht="19.5" customHeight="1">
      <c r="D15" s="119"/>
      <c r="E15" s="212"/>
      <c r="F15" s="213"/>
      <c r="G15" s="214" t="str">
        <f>'Semana de Teste'!E9</f>
        <v>Dumbbell Shoulder Press </v>
      </c>
      <c r="H15" s="215">
        <v>0.6</v>
      </c>
      <c r="I15" s="199">
        <f t="array" ref="I15">H15*'Semana de Teste'!$O$9</f>
        <v>0</v>
      </c>
      <c r="J15" s="200">
        <v>20.0</v>
      </c>
      <c r="K15" s="201">
        <v>0.001041666666666667</v>
      </c>
      <c r="L15" s="202"/>
      <c r="M15" s="203"/>
      <c r="N15" s="204"/>
      <c r="O15" s="216">
        <f t="array" ref="O15">SUM(L15:N15)/(J15*3)</f>
        <v>0</v>
      </c>
      <c r="P15" s="217"/>
      <c r="Q15" s="207"/>
      <c r="R15" s="227"/>
      <c r="S15" s="228"/>
      <c r="T15" s="228"/>
      <c r="U15" s="228"/>
      <c r="V15" s="229">
        <v>0.7</v>
      </c>
      <c r="W15" s="230">
        <f>V15*'Semana de Teste'!$D$25</f>
        <v>9.1</v>
      </c>
      <c r="X15" s="228"/>
      <c r="Y15" s="228"/>
      <c r="Z15" s="231"/>
      <c r="AE15" s="211"/>
      <c r="AF15" s="164"/>
    </row>
    <row r="16" ht="19.5" customHeight="1">
      <c r="D16" s="119"/>
      <c r="E16" s="212"/>
      <c r="F16" s="213"/>
      <c r="G16" s="214" t="str">
        <f>'Semana de Teste'!E10</f>
        <v>Remada Alta com Barra</v>
      </c>
      <c r="H16" s="215">
        <v>0.6</v>
      </c>
      <c r="I16" s="199">
        <f t="array" ref="I16">H16*'Semana de Teste'!$O$10</f>
        <v>0</v>
      </c>
      <c r="J16" s="200">
        <v>20.0</v>
      </c>
      <c r="K16" s="201">
        <v>0.001041666666666667</v>
      </c>
      <c r="L16" s="202"/>
      <c r="M16" s="203"/>
      <c r="N16" s="204"/>
      <c r="O16" s="216">
        <f t="array" ref="O16">SUM(L16:N16)/(J16*3)</f>
        <v>0</v>
      </c>
      <c r="P16" s="217"/>
      <c r="Q16" s="207"/>
      <c r="R16" s="227"/>
      <c r="S16" s="232">
        <v>2.0</v>
      </c>
      <c r="T16" s="233">
        <v>1.0</v>
      </c>
      <c r="U16" s="234">
        <f>Dashboard!$D$12*Dashboard!$D$13</f>
        <v>20</v>
      </c>
      <c r="V16" s="229">
        <v>0.6</v>
      </c>
      <c r="W16" s="230">
        <f>V16*'Semana de Teste'!$D$25</f>
        <v>7.8</v>
      </c>
      <c r="X16" s="235"/>
      <c r="Y16" s="225" t="s">
        <v>114</v>
      </c>
      <c r="Z16" s="236"/>
      <c r="AE16" s="211"/>
      <c r="AF16" s="164"/>
    </row>
    <row r="17" ht="19.5" customHeight="1">
      <c r="D17" s="119"/>
      <c r="E17" s="237"/>
      <c r="F17" s="238"/>
      <c r="G17" s="214" t="str">
        <f>'Semana de Teste'!E11</f>
        <v>Tríceps Pulley</v>
      </c>
      <c r="H17" s="215">
        <v>0.6</v>
      </c>
      <c r="I17" s="199">
        <f t="array" ref="I17">H17*'Semana de Teste'!$O$11</f>
        <v>0</v>
      </c>
      <c r="J17" s="200">
        <v>20.0</v>
      </c>
      <c r="K17" s="201">
        <v>0.001041666666666667</v>
      </c>
      <c r="L17" s="202"/>
      <c r="M17" s="203"/>
      <c r="N17" s="204"/>
      <c r="O17" s="216">
        <f t="array" ref="O17">SUM(L17:N17)/(J17*3)</f>
        <v>0</v>
      </c>
      <c r="P17" s="217"/>
      <c r="Q17" s="207"/>
      <c r="R17" s="239"/>
      <c r="S17" s="240"/>
      <c r="T17" s="240"/>
      <c r="U17" s="240"/>
      <c r="V17" s="241">
        <v>0.7</v>
      </c>
      <c r="W17" s="242">
        <f>V17*'Semana de Teste'!$D$25</f>
        <v>9.1</v>
      </c>
      <c r="X17" s="240"/>
      <c r="Y17" s="228"/>
      <c r="Z17" s="243"/>
      <c r="AE17" s="211"/>
      <c r="AF17" s="164"/>
    </row>
    <row r="18" ht="19.5" customHeight="1">
      <c r="D18" s="119"/>
      <c r="E18" s="195" t="s">
        <v>30</v>
      </c>
      <c r="F18" s="196">
        <v>2.0</v>
      </c>
      <c r="G18" s="197" t="str">
        <f>'Semana de Teste'!E12</f>
        <v>Remada Inclinada ( Barbell Row )</v>
      </c>
      <c r="H18" s="244">
        <v>0.6</v>
      </c>
      <c r="I18" s="245">
        <f t="array" ref="I18">H18*'Semana de Teste'!$O$12</f>
        <v>0</v>
      </c>
      <c r="J18" s="246">
        <v>20.0</v>
      </c>
      <c r="K18" s="247">
        <v>0.001041666666666667</v>
      </c>
      <c r="L18" s="248"/>
      <c r="M18" s="249"/>
      <c r="N18" s="250"/>
      <c r="O18" s="205">
        <f t="array" ref="O18">SUM(L18:N18)/(J18*3)</f>
        <v>0</v>
      </c>
      <c r="P18" s="217"/>
      <c r="Q18" s="207"/>
      <c r="R18" s="218">
        <v>2.0</v>
      </c>
      <c r="S18" s="219">
        <v>3.0</v>
      </c>
      <c r="T18" s="220">
        <v>1.0</v>
      </c>
      <c r="U18" s="221">
        <f>Dashboard!$D$12*Dashboard!$D$13</f>
        <v>20</v>
      </c>
      <c r="V18" s="222">
        <v>0.6</v>
      </c>
      <c r="W18" s="223">
        <f>V18*'Semana de Teste'!$D$25</f>
        <v>7.8</v>
      </c>
      <c r="X18" s="251"/>
      <c r="Y18" s="225" t="s">
        <v>114</v>
      </c>
      <c r="Z18" s="252"/>
      <c r="AE18" s="211"/>
      <c r="AF18" s="164"/>
    </row>
    <row r="19" ht="19.5" customHeight="1">
      <c r="D19" s="119"/>
      <c r="E19" s="212"/>
      <c r="F19" s="213"/>
      <c r="G19" s="214" t="str">
        <f>'Semana de Teste'!E13</f>
        <v>Puxada Frontal ( Supinação )</v>
      </c>
      <c r="H19" s="215">
        <v>0.6</v>
      </c>
      <c r="I19" s="199">
        <f t="array" ref="I19">H19*'Semana de Teste'!$O$13</f>
        <v>0</v>
      </c>
      <c r="J19" s="200">
        <v>20.0</v>
      </c>
      <c r="K19" s="201">
        <v>0.001041666666666667</v>
      </c>
      <c r="L19" s="253"/>
      <c r="M19" s="254"/>
      <c r="N19" s="255"/>
      <c r="O19" s="216">
        <f t="array" ref="O19">SUM(L19:N19)/(J19*3)</f>
        <v>0</v>
      </c>
      <c r="P19" s="217"/>
      <c r="Q19" s="207"/>
      <c r="R19" s="227"/>
      <c r="S19" s="228"/>
      <c r="T19" s="228"/>
      <c r="U19" s="228"/>
      <c r="V19" s="229">
        <v>0.7</v>
      </c>
      <c r="W19" s="230">
        <f>V19*'Semana de Teste'!$D$25</f>
        <v>9.1</v>
      </c>
      <c r="X19" s="228"/>
      <c r="Y19" s="228"/>
      <c r="Z19" s="231"/>
      <c r="AE19" s="211"/>
      <c r="AF19" s="164"/>
    </row>
    <row r="20" ht="19.5" customHeight="1">
      <c r="D20" s="119"/>
      <c r="E20" s="212"/>
      <c r="F20" s="213"/>
      <c r="G20" s="214" t="str">
        <f>'Semana de Teste'!E14</f>
        <v>Remada Inclinada com Halter</v>
      </c>
      <c r="H20" s="215">
        <v>0.6</v>
      </c>
      <c r="I20" s="199">
        <f t="array" ref="I20">H20*'Semana de Teste'!$O$14</f>
        <v>0</v>
      </c>
      <c r="J20" s="200">
        <v>20.0</v>
      </c>
      <c r="K20" s="201">
        <v>0.001041666666666667</v>
      </c>
      <c r="L20" s="253"/>
      <c r="M20" s="254"/>
      <c r="N20" s="255"/>
      <c r="O20" s="216">
        <f t="array" ref="O20">SUM(L20:N20)/(J20*3)</f>
        <v>0</v>
      </c>
      <c r="P20" s="217"/>
      <c r="Q20" s="207"/>
      <c r="R20" s="227"/>
      <c r="S20" s="232">
        <v>4.0</v>
      </c>
      <c r="T20" s="233">
        <v>1.0</v>
      </c>
      <c r="U20" s="234">
        <f>Dashboard!$D$12*Dashboard!$D$13</f>
        <v>20</v>
      </c>
      <c r="V20" s="229">
        <v>0.6</v>
      </c>
      <c r="W20" s="230">
        <f>V20*'Semana de Teste'!$D$25</f>
        <v>7.8</v>
      </c>
      <c r="X20" s="235"/>
      <c r="Y20" s="225" t="s">
        <v>114</v>
      </c>
      <c r="Z20" s="236"/>
      <c r="AE20" s="211"/>
      <c r="AF20" s="164"/>
    </row>
    <row r="21" ht="19.5" customHeight="1">
      <c r="D21" s="119"/>
      <c r="E21" s="212"/>
      <c r="F21" s="213"/>
      <c r="G21" s="214" t="str">
        <f>'Semana de Teste'!E15</f>
        <v>Voador Inverso no banco inclinado com Halter</v>
      </c>
      <c r="H21" s="215">
        <v>0.6</v>
      </c>
      <c r="I21" s="199">
        <f t="array" ref="I21">H21*'Semana de Teste'!$O$15</f>
        <v>0</v>
      </c>
      <c r="J21" s="200">
        <v>20.0</v>
      </c>
      <c r="K21" s="201">
        <v>0.001041666666666667</v>
      </c>
      <c r="L21" s="253"/>
      <c r="M21" s="254"/>
      <c r="N21" s="255"/>
      <c r="O21" s="216">
        <f t="array" ref="O21">SUM(L21:N21)/(J21*3)</f>
        <v>0</v>
      </c>
      <c r="P21" s="217"/>
      <c r="Q21" s="207"/>
      <c r="R21" s="239"/>
      <c r="S21" s="240"/>
      <c r="T21" s="240"/>
      <c r="U21" s="240"/>
      <c r="V21" s="241">
        <v>0.7</v>
      </c>
      <c r="W21" s="242">
        <f>V21*'Semana de Teste'!$D$25</f>
        <v>9.1</v>
      </c>
      <c r="X21" s="228"/>
      <c r="Y21" s="228"/>
      <c r="Z21" s="231"/>
      <c r="AE21" s="211"/>
      <c r="AF21" s="164"/>
    </row>
    <row r="22" ht="19.5" customHeight="1">
      <c r="D22" s="119"/>
      <c r="E22" s="237"/>
      <c r="F22" s="238"/>
      <c r="G22" s="256" t="str">
        <f>'Semana de Teste'!E16</f>
        <v>Rosca Martelo com Halter</v>
      </c>
      <c r="H22" s="257">
        <v>0.6</v>
      </c>
      <c r="I22" s="258">
        <f t="array" ref="I22">H22*'Semana de Teste'!$O$16</f>
        <v>0</v>
      </c>
      <c r="J22" s="259">
        <v>20.0</v>
      </c>
      <c r="K22" s="260">
        <v>0.001041666666666667</v>
      </c>
      <c r="L22" s="261"/>
      <c r="M22" s="262"/>
      <c r="N22" s="263"/>
      <c r="O22" s="264">
        <f t="array" ref="O22">SUM(L22:N22)/(J22*3)</f>
        <v>0</v>
      </c>
      <c r="P22" s="217"/>
      <c r="Q22" s="207"/>
      <c r="R22" s="218">
        <v>3.0</v>
      </c>
      <c r="S22" s="219">
        <v>5.0</v>
      </c>
      <c r="T22" s="220">
        <v>1.0</v>
      </c>
      <c r="U22" s="221">
        <f>Dashboard!$D$12*Dashboard!$D$13</f>
        <v>20</v>
      </c>
      <c r="V22" s="222">
        <v>0.6</v>
      </c>
      <c r="W22" s="223">
        <f>V22*'Semana de Teste'!$D$25</f>
        <v>7.8</v>
      </c>
      <c r="X22" s="265"/>
      <c r="Y22" s="225" t="s">
        <v>114</v>
      </c>
      <c r="Z22" s="226"/>
      <c r="AE22" s="211"/>
      <c r="AF22" s="164"/>
    </row>
    <row r="23" ht="19.5" customHeight="1">
      <c r="D23" s="119"/>
      <c r="E23" s="266" t="s">
        <v>115</v>
      </c>
      <c r="F23" s="267">
        <v>3.0</v>
      </c>
      <c r="G23" s="214" t="str">
        <f>'Semana de Teste'!E17</f>
        <v>Agachamento com Barra nas Costas (Back Squat)</v>
      </c>
      <c r="H23" s="215">
        <v>0.6</v>
      </c>
      <c r="I23" s="199">
        <f t="array" ref="I23">H23*'Semana de Teste'!$O$17</f>
        <v>0</v>
      </c>
      <c r="J23" s="200">
        <v>20.0</v>
      </c>
      <c r="K23" s="201">
        <v>0.001041666666666667</v>
      </c>
      <c r="L23" s="202"/>
      <c r="M23" s="203"/>
      <c r="N23" s="268"/>
      <c r="O23" s="216">
        <f t="array" ref="O23">SUM(L23:N23)/(J23*3)</f>
        <v>0</v>
      </c>
      <c r="P23" s="217"/>
      <c r="Q23" s="207"/>
      <c r="R23" s="227"/>
      <c r="S23" s="228"/>
      <c r="T23" s="228"/>
      <c r="U23" s="228"/>
      <c r="V23" s="229">
        <v>0.7</v>
      </c>
      <c r="W23" s="230">
        <f>V23*'Semana de Teste'!$D$25</f>
        <v>9.1</v>
      </c>
      <c r="X23" s="228"/>
      <c r="Y23" s="228"/>
      <c r="Z23" s="231"/>
      <c r="AE23" s="211"/>
      <c r="AF23" s="164"/>
    </row>
    <row r="24" ht="19.5" customHeight="1">
      <c r="D24" s="119"/>
      <c r="E24" s="212"/>
      <c r="F24" s="269"/>
      <c r="G24" s="214" t="str">
        <f>'Semana de Teste'!E18</f>
        <v>Levantamento Terra ( Deadlift)</v>
      </c>
      <c r="H24" s="215">
        <v>0.6</v>
      </c>
      <c r="I24" s="199">
        <f t="array" ref="I24">H24*'Semana de Teste'!$O$18</f>
        <v>0</v>
      </c>
      <c r="J24" s="200">
        <v>20.0</v>
      </c>
      <c r="K24" s="201">
        <v>0.001041666666666667</v>
      </c>
      <c r="L24" s="253"/>
      <c r="M24" s="254"/>
      <c r="N24" s="255"/>
      <c r="O24" s="216">
        <f t="array" ref="O24">SUM(L24:N24)/(J24*3)</f>
        <v>0</v>
      </c>
      <c r="P24" s="217"/>
      <c r="Q24" s="207"/>
      <c r="R24" s="227"/>
      <c r="S24" s="232">
        <v>6.0</v>
      </c>
      <c r="T24" s="233">
        <v>1.0</v>
      </c>
      <c r="U24" s="234">
        <f>Dashboard!$D$12*Dashboard!$D$13</f>
        <v>20</v>
      </c>
      <c r="V24" s="229">
        <v>0.6</v>
      </c>
      <c r="W24" s="230">
        <f>V24*'Semana de Teste'!$D$25</f>
        <v>7.8</v>
      </c>
      <c r="X24" s="235"/>
      <c r="Y24" s="225" t="s">
        <v>114</v>
      </c>
      <c r="Z24" s="236"/>
      <c r="AE24" s="211"/>
      <c r="AF24" s="164"/>
    </row>
    <row r="25" ht="19.5" customHeight="1">
      <c r="D25" s="119"/>
      <c r="E25" s="212"/>
      <c r="F25" s="269"/>
      <c r="G25" s="214" t="str">
        <f>'Semana de Teste'!E19</f>
        <v>Afundo com Halteres</v>
      </c>
      <c r="H25" s="215">
        <v>0.6</v>
      </c>
      <c r="I25" s="199">
        <f t="array" ref="I25">H25*'Semana de Teste'!$O$19</f>
        <v>0</v>
      </c>
      <c r="J25" s="200">
        <v>20.0</v>
      </c>
      <c r="K25" s="201">
        <v>0.001041666666666667</v>
      </c>
      <c r="L25" s="253"/>
      <c r="M25" s="254"/>
      <c r="N25" s="255"/>
      <c r="O25" s="216">
        <f t="array" ref="O25">SUM(L25:N25)/(J25*3)</f>
        <v>0</v>
      </c>
      <c r="P25" s="217"/>
      <c r="Q25" s="207"/>
      <c r="R25" s="239"/>
      <c r="S25" s="240"/>
      <c r="T25" s="240"/>
      <c r="U25" s="240"/>
      <c r="V25" s="241">
        <v>0.7</v>
      </c>
      <c r="W25" s="242">
        <f>V25*'Semana de Teste'!$D$25</f>
        <v>9.1</v>
      </c>
      <c r="X25" s="240"/>
      <c r="Y25" s="228"/>
      <c r="Z25" s="243"/>
      <c r="AE25" s="211"/>
      <c r="AF25" s="164"/>
    </row>
    <row r="26" ht="19.5" customHeight="1">
      <c r="D26" s="134"/>
      <c r="E26" s="237"/>
      <c r="F26" s="270"/>
      <c r="G26" s="256" t="str">
        <f>'Semana de Teste'!E20</f>
        <v>Stiff com Halter</v>
      </c>
      <c r="H26" s="257">
        <v>0.6</v>
      </c>
      <c r="I26" s="258">
        <f t="array" ref="I26">H26*'Semana de Teste'!$O$20</f>
        <v>0</v>
      </c>
      <c r="J26" s="259">
        <v>20.0</v>
      </c>
      <c r="K26" s="260">
        <v>0.001041666666666667</v>
      </c>
      <c r="L26" s="261"/>
      <c r="M26" s="262"/>
      <c r="N26" s="263"/>
      <c r="O26" s="264">
        <f t="array" ref="O26">SUM(L26:N26)/(J26*3)</f>
        <v>0</v>
      </c>
      <c r="P26" s="271"/>
      <c r="Q26" s="207"/>
      <c r="R26" s="218">
        <v>4.0</v>
      </c>
      <c r="S26" s="219">
        <v>7.0</v>
      </c>
      <c r="T26" s="220">
        <v>1.0</v>
      </c>
      <c r="U26" s="221">
        <f>Dashboard!$D$12*Dashboard!$D$13</f>
        <v>20</v>
      </c>
      <c r="V26" s="222">
        <v>0.6</v>
      </c>
      <c r="W26" s="223">
        <f>V26*'Semana de Teste'!$D$25</f>
        <v>7.8</v>
      </c>
      <c r="X26" s="251"/>
      <c r="Y26" s="225" t="s">
        <v>114</v>
      </c>
      <c r="Z26" s="252"/>
      <c r="AE26" s="211"/>
      <c r="AF26" s="164"/>
    </row>
    <row r="27" ht="19.5" customHeight="1">
      <c r="D27" s="272"/>
      <c r="E27" s="273"/>
      <c r="F27" s="274"/>
      <c r="G27" s="275"/>
      <c r="H27" s="276"/>
      <c r="I27" s="277"/>
      <c r="J27" s="278"/>
      <c r="K27" s="279"/>
      <c r="L27" s="280"/>
      <c r="M27" s="281"/>
      <c r="N27" s="282"/>
      <c r="O27" s="283"/>
      <c r="P27" s="284"/>
      <c r="Q27" s="207"/>
      <c r="R27" s="227"/>
      <c r="S27" s="228"/>
      <c r="T27" s="228"/>
      <c r="U27" s="228"/>
      <c r="V27" s="229">
        <v>0.7</v>
      </c>
      <c r="W27" s="230">
        <f>V27*'Semana de Teste'!$D$25</f>
        <v>9.1</v>
      </c>
      <c r="X27" s="228"/>
      <c r="Y27" s="228"/>
      <c r="Z27" s="231"/>
      <c r="AE27" s="211"/>
      <c r="AF27" s="164"/>
    </row>
    <row r="28" ht="19.5" customHeight="1">
      <c r="D28" s="194">
        <v>2.0</v>
      </c>
      <c r="E28" s="195" t="s">
        <v>106</v>
      </c>
      <c r="F28" s="196">
        <v>4.0</v>
      </c>
      <c r="G28" s="197" t="str">
        <f>'Semana de Teste'!E7</f>
        <v>Supino Reto ( Bench Press ) </v>
      </c>
      <c r="H28" s="244">
        <v>0.6</v>
      </c>
      <c r="I28" s="245">
        <f t="array" ref="I28">H28*'Semana de Teste'!$O$7</f>
        <v>54.3936</v>
      </c>
      <c r="J28" s="285">
        <v>20.0</v>
      </c>
      <c r="K28" s="247">
        <v>0.001041666666666667</v>
      </c>
      <c r="L28" s="248"/>
      <c r="M28" s="249"/>
      <c r="N28" s="250"/>
      <c r="O28" s="205">
        <f t="array" ref="O28">SUM(L28:N28)/(J28*3)</f>
        <v>0</v>
      </c>
      <c r="P28" s="206">
        <f>AVERAGE(O28:O41)</f>
        <v>0</v>
      </c>
      <c r="Q28" s="207"/>
      <c r="R28" s="227"/>
      <c r="S28" s="232">
        <v>8.0</v>
      </c>
      <c r="T28" s="233">
        <v>1.0</v>
      </c>
      <c r="U28" s="234">
        <f>Dashboard!$D$12*Dashboard!$D$13</f>
        <v>20</v>
      </c>
      <c r="V28" s="229">
        <v>0.6</v>
      </c>
      <c r="W28" s="230">
        <f>V28*'Semana de Teste'!$D$25</f>
        <v>7.8</v>
      </c>
      <c r="X28" s="235"/>
      <c r="Y28" s="224"/>
      <c r="Z28" s="236"/>
      <c r="AE28" s="211"/>
      <c r="AF28" s="164"/>
    </row>
    <row r="29" ht="19.5" customHeight="1">
      <c r="D29" s="119"/>
      <c r="E29" s="212"/>
      <c r="F29" s="213"/>
      <c r="G29" s="214" t="str">
        <f>'Semana de Teste'!E8</f>
        <v>Supino Inclinado com Barra</v>
      </c>
      <c r="H29" s="215">
        <v>0.6</v>
      </c>
      <c r="I29" s="199">
        <f t="array" ref="I29">H29*'Semana de Teste'!$O$8</f>
        <v>0</v>
      </c>
      <c r="J29" s="200">
        <v>20.0</v>
      </c>
      <c r="K29" s="201">
        <v>0.001041666666666667</v>
      </c>
      <c r="L29" s="202"/>
      <c r="M29" s="203"/>
      <c r="N29" s="268"/>
      <c r="O29" s="216">
        <f t="array" ref="O29">SUM(L29:N29)/(J29*3)</f>
        <v>0</v>
      </c>
      <c r="P29" s="217"/>
      <c r="Q29" s="207"/>
      <c r="R29" s="286"/>
      <c r="S29" s="287"/>
      <c r="T29" s="287"/>
      <c r="U29" s="287"/>
      <c r="V29" s="288">
        <v>0.7</v>
      </c>
      <c r="W29" s="289">
        <f>V29*'Semana de Teste'!$D$25</f>
        <v>9.1</v>
      </c>
      <c r="X29" s="287"/>
      <c r="Y29" s="287"/>
      <c r="Z29" s="290"/>
      <c r="AE29" s="211"/>
      <c r="AF29" s="164"/>
    </row>
    <row r="30" ht="19.5" customHeight="1">
      <c r="D30" s="119"/>
      <c r="E30" s="212"/>
      <c r="F30" s="213"/>
      <c r="G30" s="214" t="str">
        <f>'Semana de Teste'!E9</f>
        <v>Dumbbell Shoulder Press </v>
      </c>
      <c r="H30" s="215">
        <v>0.6</v>
      </c>
      <c r="I30" s="199">
        <f t="array" ref="I30">H30*'Semana de Teste'!$O$9</f>
        <v>0</v>
      </c>
      <c r="J30" s="200">
        <v>20.0</v>
      </c>
      <c r="K30" s="201">
        <v>0.001041666666666667</v>
      </c>
      <c r="L30" s="202"/>
      <c r="M30" s="203"/>
      <c r="N30" s="268"/>
      <c r="O30" s="216">
        <f t="array" ref="O30">SUM(L30:N30)/(J30*3)</f>
        <v>0</v>
      </c>
      <c r="P30" s="217"/>
      <c r="Q30" s="207"/>
      <c r="R30" s="207"/>
      <c r="S30" s="207"/>
      <c r="T30" s="207"/>
      <c r="U30" s="207"/>
      <c r="V30" s="207"/>
      <c r="W30" s="207"/>
      <c r="X30" s="164"/>
      <c r="Y30" s="211"/>
      <c r="Z30" s="211"/>
      <c r="AA30" s="211"/>
      <c r="AB30" s="211"/>
      <c r="AC30" s="211"/>
      <c r="AD30" s="211"/>
      <c r="AE30" s="211"/>
      <c r="AF30" s="164"/>
    </row>
    <row r="31" ht="19.5" customHeight="1">
      <c r="D31" s="119"/>
      <c r="E31" s="212"/>
      <c r="F31" s="213"/>
      <c r="G31" s="214" t="str">
        <f>'Semana de Teste'!E10</f>
        <v>Remada Alta com Barra</v>
      </c>
      <c r="H31" s="215">
        <v>0.6</v>
      </c>
      <c r="I31" s="199">
        <f t="array" ref="I31">H31*'Semana de Teste'!$O$10</f>
        <v>0</v>
      </c>
      <c r="J31" s="200">
        <v>20.0</v>
      </c>
      <c r="K31" s="201">
        <v>0.001041666666666667</v>
      </c>
      <c r="L31" s="202"/>
      <c r="M31" s="203"/>
      <c r="N31" s="268"/>
      <c r="O31" s="216">
        <f t="array" ref="O31">SUM(L31:N31)/(J31*3)</f>
        <v>0</v>
      </c>
      <c r="P31" s="217"/>
      <c r="Q31" s="207"/>
      <c r="R31" s="207"/>
      <c r="S31" s="207"/>
      <c r="T31" s="207"/>
      <c r="U31" s="207"/>
      <c r="V31" s="207"/>
      <c r="W31" s="207"/>
      <c r="X31" s="164"/>
      <c r="Y31" s="164"/>
      <c r="Z31" s="164"/>
      <c r="AA31" s="164"/>
      <c r="AB31" s="164"/>
      <c r="AC31" s="164"/>
      <c r="AD31" s="164"/>
      <c r="AE31" s="164"/>
      <c r="AF31" s="164"/>
    </row>
    <row r="32" ht="19.5" customHeight="1">
      <c r="D32" s="119"/>
      <c r="E32" s="237"/>
      <c r="F32" s="238"/>
      <c r="G32" s="214" t="str">
        <f>'Semana de Teste'!E11</f>
        <v>Tríceps Pulley</v>
      </c>
      <c r="H32" s="215">
        <v>0.6</v>
      </c>
      <c r="I32" s="199">
        <f t="array" ref="I32">H32*'Semana de Teste'!$O$11</f>
        <v>0</v>
      </c>
      <c r="J32" s="200">
        <v>20.0</v>
      </c>
      <c r="K32" s="201">
        <v>0.001041666666666667</v>
      </c>
      <c r="L32" s="202"/>
      <c r="M32" s="203"/>
      <c r="N32" s="268"/>
      <c r="O32" s="216">
        <f t="array" ref="O32">SUM(L32:N32)/(J32*3)</f>
        <v>0</v>
      </c>
      <c r="P32" s="217"/>
      <c r="Q32" s="207"/>
      <c r="R32" s="291">
        <v>1.0</v>
      </c>
      <c r="S32" s="292" t="s">
        <v>116</v>
      </c>
      <c r="T32" s="207"/>
      <c r="U32" s="207"/>
      <c r="V32" s="207"/>
      <c r="W32" s="207"/>
      <c r="X32" s="164"/>
      <c r="Y32" s="164"/>
      <c r="Z32" s="164"/>
      <c r="AA32" s="164"/>
      <c r="AB32" s="164"/>
      <c r="AC32" s="164"/>
      <c r="AD32" s="164"/>
      <c r="AE32" s="164"/>
      <c r="AF32" s="164"/>
    </row>
    <row r="33" ht="19.5" customHeight="1">
      <c r="D33" s="119"/>
      <c r="E33" s="195" t="s">
        <v>30</v>
      </c>
      <c r="F33" s="196">
        <v>5.0</v>
      </c>
      <c r="G33" s="197" t="str">
        <f>'Semana de Teste'!E12</f>
        <v>Remada Inclinada ( Barbell Row )</v>
      </c>
      <c r="H33" s="244">
        <v>0.6</v>
      </c>
      <c r="I33" s="245">
        <f t="array" ref="I33">H33*'Semana de Teste'!$O$12</f>
        <v>0</v>
      </c>
      <c r="J33" s="246">
        <v>20.0</v>
      </c>
      <c r="K33" s="247">
        <v>0.001041666666666667</v>
      </c>
      <c r="L33" s="248"/>
      <c r="M33" s="249"/>
      <c r="N33" s="250"/>
      <c r="O33" s="205">
        <f t="array" ref="O33">SUM(L33:N33)/(J33*3)</f>
        <v>0</v>
      </c>
      <c r="P33" s="217"/>
      <c r="Q33" s="207"/>
      <c r="R33" s="293">
        <v>0.99</v>
      </c>
      <c r="S33" s="294" t="s">
        <v>117</v>
      </c>
      <c r="T33" s="207"/>
      <c r="U33" s="207"/>
      <c r="V33" s="207"/>
      <c r="W33" s="207"/>
      <c r="X33" s="164"/>
      <c r="Y33" s="164"/>
      <c r="Z33" s="164"/>
      <c r="AA33" s="164"/>
      <c r="AB33" s="164"/>
      <c r="AC33" s="164"/>
      <c r="AD33" s="164"/>
      <c r="AE33" s="164"/>
      <c r="AF33" s="164"/>
    </row>
    <row r="34" ht="19.5" customHeight="1">
      <c r="D34" s="119"/>
      <c r="E34" s="212"/>
      <c r="F34" s="213"/>
      <c r="G34" s="214" t="str">
        <f>'Semana de Teste'!E13</f>
        <v>Puxada Frontal ( Supinação )</v>
      </c>
      <c r="H34" s="215">
        <v>0.6</v>
      </c>
      <c r="I34" s="199">
        <f t="array" ref="I34">H34*'Semana de Teste'!$O$13</f>
        <v>0</v>
      </c>
      <c r="J34" s="200">
        <v>20.0</v>
      </c>
      <c r="K34" s="201">
        <v>0.001041666666666667</v>
      </c>
      <c r="L34" s="202"/>
      <c r="M34" s="203"/>
      <c r="N34" s="268"/>
      <c r="O34" s="216">
        <f t="array" ref="O34">SUM(L34:N34)/(J34*3)</f>
        <v>0</v>
      </c>
      <c r="P34" s="217"/>
      <c r="Q34" s="207"/>
      <c r="R34" s="293">
        <v>0.9</v>
      </c>
      <c r="S34" s="295"/>
      <c r="T34" s="207"/>
      <c r="U34" s="207"/>
      <c r="V34" s="207"/>
      <c r="W34" s="207"/>
      <c r="X34" s="164"/>
      <c r="Y34" s="164"/>
      <c r="Z34" s="164"/>
      <c r="AA34" s="164"/>
      <c r="AB34" s="164"/>
      <c r="AC34" s="164"/>
      <c r="AD34" s="164"/>
      <c r="AE34" s="164"/>
      <c r="AF34" s="164"/>
    </row>
    <row r="35" ht="19.5" customHeight="1">
      <c r="D35" s="119"/>
      <c r="E35" s="212"/>
      <c r="F35" s="213"/>
      <c r="G35" s="214" t="str">
        <f>'Semana de Teste'!E14</f>
        <v>Remada Inclinada com Halter</v>
      </c>
      <c r="H35" s="215">
        <v>0.6</v>
      </c>
      <c r="I35" s="199">
        <f t="array" ref="I35">H35*'Semana de Teste'!$O$14</f>
        <v>0</v>
      </c>
      <c r="J35" s="200">
        <v>20.0</v>
      </c>
      <c r="K35" s="201">
        <v>0.001041666666666667</v>
      </c>
      <c r="L35" s="202"/>
      <c r="M35" s="203"/>
      <c r="N35" s="268"/>
      <c r="O35" s="216">
        <f t="array" ref="O35">SUM(L35:N35)/(J35*3)</f>
        <v>0</v>
      </c>
      <c r="P35" s="217"/>
      <c r="Q35" s="207"/>
      <c r="R35" s="296">
        <v>0.89</v>
      </c>
      <c r="S35" s="297" t="s">
        <v>118</v>
      </c>
      <c r="T35" s="207"/>
      <c r="U35" s="207"/>
      <c r="V35" s="207"/>
      <c r="W35" s="207"/>
      <c r="X35" s="164"/>
      <c r="Y35" s="164"/>
      <c r="Z35" s="164"/>
      <c r="AA35" s="164"/>
      <c r="AB35" s="164"/>
      <c r="AC35" s="164"/>
      <c r="AD35" s="164"/>
      <c r="AE35" s="164"/>
      <c r="AF35" s="164"/>
    </row>
    <row r="36" ht="19.5" customHeight="1">
      <c r="D36" s="119"/>
      <c r="E36" s="212"/>
      <c r="F36" s="213"/>
      <c r="G36" s="214" t="str">
        <f>'Semana de Teste'!E15</f>
        <v>Voador Inverso no banco inclinado com Halter</v>
      </c>
      <c r="H36" s="215">
        <v>0.6</v>
      </c>
      <c r="I36" s="199">
        <f t="array" ref="I36">H36*'Semana de Teste'!$O$15</f>
        <v>0</v>
      </c>
      <c r="J36" s="200">
        <v>20.0</v>
      </c>
      <c r="K36" s="201">
        <v>0.001041666666666667</v>
      </c>
      <c r="L36" s="202"/>
      <c r="M36" s="203"/>
      <c r="N36" s="268"/>
      <c r="O36" s="216">
        <f t="array" ref="O36">SUM(L36:N36)/(J36*3)</f>
        <v>0</v>
      </c>
      <c r="P36" s="217"/>
      <c r="Q36" s="207"/>
      <c r="R36" s="296">
        <v>0.8</v>
      </c>
      <c r="S36" s="295"/>
      <c r="T36" s="207"/>
      <c r="U36" s="207"/>
      <c r="V36" s="207"/>
      <c r="W36" s="207"/>
      <c r="X36" s="164"/>
      <c r="Y36" s="164"/>
      <c r="Z36" s="164"/>
      <c r="AA36" s="164"/>
      <c r="AB36" s="164"/>
      <c r="AC36" s="164"/>
      <c r="AD36" s="164"/>
      <c r="AE36" s="164"/>
      <c r="AF36" s="164"/>
    </row>
    <row r="37" ht="19.5" customHeight="1">
      <c r="D37" s="119"/>
      <c r="E37" s="237"/>
      <c r="F37" s="238"/>
      <c r="G37" s="256" t="str">
        <f>'Semana de Teste'!E16</f>
        <v>Rosca Martelo com Halter</v>
      </c>
      <c r="H37" s="257">
        <v>0.6</v>
      </c>
      <c r="I37" s="258">
        <f t="array" ref="I37">H37*'Semana de Teste'!$O$16</f>
        <v>0</v>
      </c>
      <c r="J37" s="259">
        <v>20.0</v>
      </c>
      <c r="K37" s="260">
        <v>0.001041666666666667</v>
      </c>
      <c r="L37" s="261"/>
      <c r="M37" s="262"/>
      <c r="N37" s="263"/>
      <c r="O37" s="264">
        <f t="array" ref="O37">SUM(L37:N37)/(J37*3)</f>
        <v>0</v>
      </c>
      <c r="P37" s="217"/>
      <c r="Q37" s="207"/>
      <c r="R37" s="298">
        <v>0.79</v>
      </c>
      <c r="S37" s="299" t="s">
        <v>119</v>
      </c>
      <c r="T37" s="207"/>
      <c r="U37" s="207"/>
      <c r="V37" s="207"/>
      <c r="W37" s="207"/>
      <c r="X37" s="164"/>
      <c r="Y37" s="164"/>
      <c r="Z37" s="164"/>
      <c r="AA37" s="164"/>
      <c r="AB37" s="164"/>
      <c r="AC37" s="164"/>
      <c r="AD37" s="164"/>
      <c r="AE37" s="164"/>
      <c r="AF37" s="164"/>
    </row>
    <row r="38" ht="19.5" customHeight="1">
      <c r="D38" s="119"/>
      <c r="E38" s="266" t="s">
        <v>115</v>
      </c>
      <c r="F38" s="196">
        <v>6.0</v>
      </c>
      <c r="G38" s="214" t="str">
        <f>'Semana de Teste'!E17</f>
        <v>Agachamento com Barra nas Costas (Back Squat)</v>
      </c>
      <c r="H38" s="215">
        <v>0.6</v>
      </c>
      <c r="I38" s="199">
        <f t="array" ref="I38">H38*'Semana de Teste'!$O$17</f>
        <v>0</v>
      </c>
      <c r="J38" s="200">
        <v>20.0</v>
      </c>
      <c r="K38" s="201">
        <v>0.001041666666666667</v>
      </c>
      <c r="L38" s="202"/>
      <c r="M38" s="203"/>
      <c r="N38" s="268"/>
      <c r="O38" s="216">
        <f t="array" ref="O38">SUM(L38:N38)/(J38*3)</f>
        <v>0</v>
      </c>
      <c r="P38" s="217"/>
      <c r="Q38" s="207"/>
      <c r="R38" s="298">
        <v>0.7</v>
      </c>
      <c r="S38" s="295"/>
      <c r="T38" s="207"/>
      <c r="U38" s="207"/>
      <c r="V38" s="207"/>
      <c r="W38" s="207"/>
      <c r="X38" s="164"/>
      <c r="Y38" s="164"/>
      <c r="Z38" s="164"/>
      <c r="AA38" s="164"/>
      <c r="AB38" s="164"/>
      <c r="AC38" s="164"/>
      <c r="AD38" s="164"/>
      <c r="AE38" s="164"/>
      <c r="AF38" s="164"/>
    </row>
    <row r="39" ht="19.5" customHeight="1">
      <c r="D39" s="119"/>
      <c r="E39" s="212"/>
      <c r="F39" s="213"/>
      <c r="G39" s="214" t="str">
        <f>'Semana de Teste'!E18</f>
        <v>Levantamento Terra ( Deadlift)</v>
      </c>
      <c r="H39" s="215">
        <v>0.6</v>
      </c>
      <c r="I39" s="199">
        <f t="array" ref="I39">H39*'Semana de Teste'!$O$18</f>
        <v>0</v>
      </c>
      <c r="J39" s="200">
        <v>20.0</v>
      </c>
      <c r="K39" s="201">
        <v>0.001041666666666667</v>
      </c>
      <c r="L39" s="202"/>
      <c r="M39" s="203"/>
      <c r="N39" s="268"/>
      <c r="O39" s="216">
        <f t="array" ref="O39">SUM(L39:N39)/(J39*3)</f>
        <v>0</v>
      </c>
      <c r="P39" s="217"/>
      <c r="Q39" s="207"/>
      <c r="R39" s="300">
        <v>0.69</v>
      </c>
      <c r="S39" s="301" t="s">
        <v>120</v>
      </c>
      <c r="T39" s="207"/>
      <c r="U39" s="207"/>
      <c r="V39" s="207"/>
      <c r="W39" s="207"/>
      <c r="X39" s="164"/>
      <c r="Y39" s="164"/>
      <c r="Z39" s="164"/>
      <c r="AA39" s="164"/>
      <c r="AB39" s="164"/>
      <c r="AC39" s="164"/>
      <c r="AD39" s="164"/>
      <c r="AE39" s="164"/>
      <c r="AF39" s="164"/>
    </row>
    <row r="40" ht="19.5" customHeight="1">
      <c r="D40" s="119"/>
      <c r="E40" s="212"/>
      <c r="F40" s="213"/>
      <c r="G40" s="214" t="str">
        <f>'Semana de Teste'!E19</f>
        <v>Afundo com Halteres</v>
      </c>
      <c r="H40" s="215">
        <v>0.6</v>
      </c>
      <c r="I40" s="199">
        <f t="array" ref="I40">H40*'Semana de Teste'!$O$19</f>
        <v>0</v>
      </c>
      <c r="J40" s="200">
        <v>20.0</v>
      </c>
      <c r="K40" s="201">
        <v>0.001041666666666667</v>
      </c>
      <c r="L40" s="202"/>
      <c r="M40" s="203"/>
      <c r="N40" s="268"/>
      <c r="O40" s="216">
        <f t="array" ref="O40">SUM(L40:N40)/(J40*3)</f>
        <v>0</v>
      </c>
      <c r="P40" s="217"/>
      <c r="Q40" s="207"/>
      <c r="R40" s="300">
        <v>0.6</v>
      </c>
      <c r="S40" s="295"/>
      <c r="T40" s="207"/>
      <c r="U40" s="207"/>
      <c r="V40" s="207"/>
      <c r="W40" s="207"/>
      <c r="X40" s="164"/>
      <c r="Y40" s="164"/>
      <c r="Z40" s="164"/>
      <c r="AA40" s="164"/>
      <c r="AB40" s="164"/>
      <c r="AC40" s="164"/>
      <c r="AD40" s="164"/>
      <c r="AE40" s="164"/>
      <c r="AF40" s="164"/>
    </row>
    <row r="41" ht="19.5" customHeight="1">
      <c r="D41" s="134"/>
      <c r="E41" s="237"/>
      <c r="F41" s="238"/>
      <c r="G41" s="256" t="str">
        <f>'Semana de Teste'!E20</f>
        <v>Stiff com Halter</v>
      </c>
      <c r="H41" s="257">
        <v>0.6</v>
      </c>
      <c r="I41" s="258">
        <f t="array" ref="I41">H41*'Semana de Teste'!$O$20</f>
        <v>0</v>
      </c>
      <c r="J41" s="259">
        <v>20.0</v>
      </c>
      <c r="K41" s="260">
        <v>0.001041666666666667</v>
      </c>
      <c r="L41" s="261"/>
      <c r="M41" s="262"/>
      <c r="N41" s="263"/>
      <c r="O41" s="264">
        <f t="array" ref="O41">SUM(L41:N41)/(J41*3)</f>
        <v>0</v>
      </c>
      <c r="P41" s="271"/>
      <c r="Q41" s="207"/>
      <c r="R41" s="302">
        <v>0.59</v>
      </c>
      <c r="S41" s="303" t="s">
        <v>121</v>
      </c>
      <c r="T41" s="207"/>
      <c r="U41" s="207"/>
      <c r="V41" s="207"/>
      <c r="W41" s="207"/>
      <c r="X41" s="164"/>
      <c r="Y41" s="164"/>
      <c r="Z41" s="164"/>
      <c r="AA41" s="164"/>
      <c r="AB41" s="164"/>
      <c r="AC41" s="164"/>
      <c r="AD41" s="164"/>
      <c r="AE41" s="164"/>
      <c r="AF41" s="164"/>
    </row>
    <row r="42" ht="19.5" customHeight="1">
      <c r="D42" s="272"/>
      <c r="E42" s="273"/>
      <c r="F42" s="274"/>
      <c r="G42" s="275"/>
      <c r="H42" s="304"/>
      <c r="I42" s="278"/>
      <c r="J42" s="279"/>
      <c r="K42" s="305"/>
      <c r="L42" s="306"/>
      <c r="M42" s="279"/>
      <c r="N42" s="307"/>
      <c r="P42" s="308"/>
      <c r="Q42" s="207"/>
      <c r="R42" s="302">
        <v>0.5</v>
      </c>
      <c r="S42" s="295"/>
      <c r="T42" s="207"/>
      <c r="U42" s="207"/>
      <c r="V42" s="207"/>
      <c r="W42" s="207"/>
      <c r="X42" s="164"/>
      <c r="Y42" s="164"/>
      <c r="Z42" s="164"/>
      <c r="AA42" s="164"/>
      <c r="AB42" s="164"/>
      <c r="AC42" s="164"/>
      <c r="AD42" s="164"/>
      <c r="AE42" s="164"/>
      <c r="AF42" s="164"/>
    </row>
    <row r="43" ht="19.5" customHeight="1">
      <c r="D43" s="309">
        <v>3.0</v>
      </c>
      <c r="E43" s="195" t="s">
        <v>106</v>
      </c>
      <c r="F43" s="196">
        <v>7.0</v>
      </c>
      <c r="G43" s="197" t="str">
        <f>'Semana de Teste'!E7</f>
        <v>Supino Reto ( Bench Press ) </v>
      </c>
      <c r="H43" s="244">
        <v>0.6</v>
      </c>
      <c r="I43" s="245">
        <f t="array" ref="I43">H43*'Semana de Teste'!$O$7</f>
        <v>54.3936</v>
      </c>
      <c r="J43" s="246">
        <v>20.0</v>
      </c>
      <c r="K43" s="247">
        <v>0.001041666666666667</v>
      </c>
      <c r="L43" s="248"/>
      <c r="M43" s="249"/>
      <c r="N43" s="250"/>
      <c r="O43" s="205">
        <f t="array" ref="O43">SUM(L43:N43)/(J43*3)</f>
        <v>0</v>
      </c>
      <c r="P43" s="206">
        <f>AVERAGE(O43:O56)</f>
        <v>0</v>
      </c>
      <c r="Q43" s="207"/>
      <c r="R43" s="310">
        <v>0.49</v>
      </c>
      <c r="S43" s="311" t="s">
        <v>122</v>
      </c>
      <c r="T43" s="207"/>
      <c r="U43" s="207"/>
      <c r="V43" s="207"/>
      <c r="W43" s="207"/>
      <c r="X43" s="164"/>
      <c r="Y43" s="164"/>
      <c r="Z43" s="164"/>
      <c r="AA43" s="164"/>
      <c r="AB43" s="164"/>
      <c r="AC43" s="164"/>
      <c r="AD43" s="164"/>
      <c r="AE43" s="164"/>
      <c r="AF43" s="164"/>
    </row>
    <row r="44" ht="19.5" customHeight="1">
      <c r="D44" s="119"/>
      <c r="E44" s="212"/>
      <c r="F44" s="213"/>
      <c r="G44" s="214" t="str">
        <f>'Semana de Teste'!E8</f>
        <v>Supino Inclinado com Barra</v>
      </c>
      <c r="H44" s="215">
        <v>0.6</v>
      </c>
      <c r="I44" s="199">
        <f t="array" ref="I44">H44*'Semana de Teste'!$O$8</f>
        <v>0</v>
      </c>
      <c r="J44" s="200">
        <v>20.0</v>
      </c>
      <c r="K44" s="201">
        <v>0.001041666666666667</v>
      </c>
      <c r="L44" s="202"/>
      <c r="M44" s="203"/>
      <c r="N44" s="268"/>
      <c r="O44" s="216">
        <f t="array" ref="O44">SUM(L44:N44)/(J44*3)</f>
        <v>0</v>
      </c>
      <c r="P44" s="217"/>
      <c r="Q44" s="207"/>
      <c r="R44" s="312">
        <v>0.0</v>
      </c>
      <c r="S44" s="313"/>
      <c r="T44" s="207"/>
      <c r="U44" s="207"/>
      <c r="V44" s="207"/>
      <c r="W44" s="207"/>
      <c r="X44" s="164"/>
      <c r="Y44" s="164"/>
      <c r="Z44" s="164"/>
      <c r="AA44" s="164"/>
      <c r="AB44" s="164"/>
      <c r="AC44" s="164"/>
      <c r="AD44" s="164"/>
      <c r="AE44" s="164"/>
      <c r="AF44" s="164"/>
    </row>
    <row r="45" ht="19.5" customHeight="1">
      <c r="D45" s="119"/>
      <c r="E45" s="212"/>
      <c r="F45" s="213"/>
      <c r="G45" s="214" t="str">
        <f>'Semana de Teste'!E9</f>
        <v>Dumbbell Shoulder Press </v>
      </c>
      <c r="H45" s="215">
        <v>0.6</v>
      </c>
      <c r="I45" s="199">
        <f t="array" ref="I45">H45*'Semana de Teste'!$O$9</f>
        <v>0</v>
      </c>
      <c r="J45" s="200">
        <v>20.0</v>
      </c>
      <c r="K45" s="201">
        <v>0.001041666666666667</v>
      </c>
      <c r="L45" s="202"/>
      <c r="M45" s="203"/>
      <c r="N45" s="268"/>
      <c r="O45" s="216">
        <f t="array" ref="O45">SUM(L45:N45)/(J45*3)</f>
        <v>0</v>
      </c>
      <c r="P45" s="217"/>
      <c r="Q45" s="207"/>
      <c r="R45" s="207"/>
      <c r="S45" s="207"/>
      <c r="T45" s="207"/>
      <c r="U45" s="207"/>
      <c r="V45" s="207"/>
      <c r="W45" s="207"/>
      <c r="X45" s="164"/>
      <c r="Y45" s="164"/>
      <c r="Z45" s="164"/>
      <c r="AA45" s="164"/>
      <c r="AB45" s="164"/>
      <c r="AC45" s="164"/>
      <c r="AD45" s="164"/>
      <c r="AE45" s="164"/>
      <c r="AF45" s="164"/>
    </row>
    <row r="46" ht="19.5" customHeight="1">
      <c r="D46" s="119"/>
      <c r="E46" s="212"/>
      <c r="F46" s="213"/>
      <c r="G46" s="214" t="str">
        <f>'Semana de Teste'!E10</f>
        <v>Remada Alta com Barra</v>
      </c>
      <c r="H46" s="215">
        <v>0.6</v>
      </c>
      <c r="I46" s="199">
        <f t="array" ref="I46">H46*'Semana de Teste'!$O$10</f>
        <v>0</v>
      </c>
      <c r="J46" s="200">
        <v>20.0</v>
      </c>
      <c r="K46" s="201">
        <v>0.001041666666666667</v>
      </c>
      <c r="L46" s="202"/>
      <c r="M46" s="203"/>
      <c r="N46" s="268"/>
      <c r="O46" s="216">
        <f t="array" ref="O46">SUM(L46:N46)/(J46*3)</f>
        <v>0</v>
      </c>
      <c r="P46" s="217"/>
      <c r="Q46" s="207"/>
      <c r="R46" s="207"/>
      <c r="S46" s="207"/>
      <c r="T46" s="207"/>
      <c r="U46" s="207"/>
      <c r="V46" s="207"/>
      <c r="W46" s="207"/>
      <c r="X46" s="164"/>
      <c r="Y46" s="164"/>
      <c r="Z46" s="164"/>
      <c r="AA46" s="164"/>
      <c r="AB46" s="164"/>
      <c r="AC46" s="164"/>
      <c r="AD46" s="164"/>
      <c r="AE46" s="164"/>
      <c r="AF46" s="164"/>
    </row>
    <row r="47" ht="19.5" customHeight="1">
      <c r="D47" s="119"/>
      <c r="E47" s="237"/>
      <c r="F47" s="238"/>
      <c r="G47" s="214" t="str">
        <f>'Semana de Teste'!E11</f>
        <v>Tríceps Pulley</v>
      </c>
      <c r="H47" s="215">
        <v>0.6</v>
      </c>
      <c r="I47" s="199">
        <f t="array" ref="I47">H47*'Semana de Teste'!$O$11</f>
        <v>0</v>
      </c>
      <c r="J47" s="200">
        <v>20.0</v>
      </c>
      <c r="K47" s="201">
        <v>0.001041666666666667</v>
      </c>
      <c r="L47" s="202"/>
      <c r="M47" s="203"/>
      <c r="N47" s="268"/>
      <c r="O47" s="216">
        <f t="array" ref="O47">SUM(L47:N47)/(J47*3)</f>
        <v>0</v>
      </c>
      <c r="P47" s="217"/>
      <c r="Q47" s="207"/>
      <c r="R47" s="207"/>
      <c r="S47" s="207"/>
      <c r="T47" s="207"/>
      <c r="U47" s="207"/>
      <c r="V47" s="207"/>
      <c r="W47" s="207"/>
      <c r="X47" s="164"/>
      <c r="Y47" s="164"/>
      <c r="Z47" s="164"/>
      <c r="AA47" s="164"/>
      <c r="AB47" s="164"/>
      <c r="AC47" s="164"/>
      <c r="AD47" s="164"/>
      <c r="AE47" s="164"/>
      <c r="AF47" s="164"/>
    </row>
    <row r="48" ht="19.5" customHeight="1">
      <c r="D48" s="119"/>
      <c r="E48" s="195" t="s">
        <v>30</v>
      </c>
      <c r="F48" s="196">
        <v>8.0</v>
      </c>
      <c r="G48" s="197" t="str">
        <f>'Semana de Teste'!E12</f>
        <v>Remada Inclinada ( Barbell Row )</v>
      </c>
      <c r="H48" s="244">
        <v>0.6</v>
      </c>
      <c r="I48" s="245">
        <f t="array" ref="I48">H48*'Semana de Teste'!$O$12</f>
        <v>0</v>
      </c>
      <c r="J48" s="246">
        <v>20.0</v>
      </c>
      <c r="K48" s="247">
        <v>0.001041666666666667</v>
      </c>
      <c r="L48" s="248"/>
      <c r="M48" s="249"/>
      <c r="N48" s="250"/>
      <c r="O48" s="205">
        <f t="array" ref="O48">SUM(L48:N48)/(J48*3)</f>
        <v>0</v>
      </c>
      <c r="P48" s="217"/>
      <c r="Q48" s="207"/>
      <c r="R48" s="207"/>
      <c r="S48" s="207"/>
      <c r="T48" s="207"/>
      <c r="U48" s="207"/>
      <c r="V48" s="207"/>
      <c r="W48" s="207"/>
      <c r="X48" s="164"/>
      <c r="Y48" s="164"/>
      <c r="Z48" s="164"/>
      <c r="AA48" s="164"/>
      <c r="AB48" s="164"/>
      <c r="AC48" s="164"/>
      <c r="AD48" s="164"/>
      <c r="AE48" s="164"/>
      <c r="AF48" s="164"/>
    </row>
    <row r="49" ht="19.5" customHeight="1">
      <c r="D49" s="119"/>
      <c r="E49" s="212"/>
      <c r="F49" s="213"/>
      <c r="G49" s="214" t="str">
        <f>'Semana de Teste'!E13</f>
        <v>Puxada Frontal ( Supinação )</v>
      </c>
      <c r="H49" s="215">
        <v>0.6</v>
      </c>
      <c r="I49" s="199">
        <f t="array" ref="I49">H49*'Semana de Teste'!$O$13</f>
        <v>0</v>
      </c>
      <c r="J49" s="200">
        <v>20.0</v>
      </c>
      <c r="K49" s="201">
        <v>0.001041666666666667</v>
      </c>
      <c r="L49" s="202"/>
      <c r="M49" s="203"/>
      <c r="N49" s="268"/>
      <c r="O49" s="216">
        <f t="array" ref="O49">SUM(L49:N49)/(J49*3)</f>
        <v>0</v>
      </c>
      <c r="P49" s="217"/>
      <c r="Q49" s="207"/>
      <c r="R49" s="207"/>
      <c r="S49" s="207"/>
      <c r="T49" s="207"/>
      <c r="U49" s="207"/>
      <c r="V49" s="207"/>
      <c r="W49" s="207"/>
      <c r="X49" s="164"/>
      <c r="Y49" s="164"/>
      <c r="Z49" s="164"/>
      <c r="AA49" s="164"/>
      <c r="AB49" s="164"/>
      <c r="AC49" s="164"/>
      <c r="AD49" s="164"/>
      <c r="AE49" s="164"/>
      <c r="AF49" s="164"/>
    </row>
    <row r="50" ht="19.5" customHeight="1">
      <c r="D50" s="119"/>
      <c r="E50" s="212"/>
      <c r="F50" s="213"/>
      <c r="G50" s="214" t="str">
        <f>'Semana de Teste'!E14</f>
        <v>Remada Inclinada com Halter</v>
      </c>
      <c r="H50" s="215">
        <v>0.6</v>
      </c>
      <c r="I50" s="199">
        <f t="array" ref="I50">H50*'Semana de Teste'!$O$14</f>
        <v>0</v>
      </c>
      <c r="J50" s="200">
        <v>20.0</v>
      </c>
      <c r="K50" s="201">
        <v>0.001041666666666667</v>
      </c>
      <c r="L50" s="202"/>
      <c r="M50" s="203"/>
      <c r="N50" s="268"/>
      <c r="O50" s="216">
        <f t="array" ref="O50">SUM(L50:N50)/(J50*3)</f>
        <v>0</v>
      </c>
      <c r="P50" s="217"/>
      <c r="Q50" s="207"/>
      <c r="R50" s="207"/>
      <c r="S50" s="207"/>
      <c r="T50" s="207"/>
      <c r="U50" s="207"/>
      <c r="V50" s="207"/>
      <c r="W50" s="207"/>
      <c r="X50" s="164"/>
      <c r="Y50" s="164"/>
      <c r="Z50" s="164"/>
      <c r="AA50" s="164"/>
      <c r="AB50" s="164"/>
      <c r="AC50" s="164"/>
      <c r="AD50" s="164"/>
      <c r="AE50" s="164"/>
      <c r="AF50" s="164"/>
    </row>
    <row r="51" ht="19.5" customHeight="1">
      <c r="D51" s="119"/>
      <c r="E51" s="212"/>
      <c r="F51" s="213"/>
      <c r="G51" s="214" t="str">
        <f>'Semana de Teste'!E15</f>
        <v>Voador Inverso no banco inclinado com Halter</v>
      </c>
      <c r="H51" s="215">
        <v>0.6</v>
      </c>
      <c r="I51" s="199">
        <f t="array" ref="I51">H51*'Semana de Teste'!$O$15</f>
        <v>0</v>
      </c>
      <c r="J51" s="200">
        <v>20.0</v>
      </c>
      <c r="K51" s="201">
        <v>0.001041666666666667</v>
      </c>
      <c r="L51" s="202"/>
      <c r="M51" s="203"/>
      <c r="N51" s="268"/>
      <c r="O51" s="216">
        <f t="array" ref="O51">SUM(L51:N51)/(J51*3)</f>
        <v>0</v>
      </c>
      <c r="P51" s="217"/>
      <c r="Q51" s="207"/>
      <c r="R51" s="207"/>
      <c r="S51" s="207"/>
      <c r="T51" s="207"/>
      <c r="U51" s="207"/>
      <c r="V51" s="207"/>
      <c r="W51" s="207"/>
      <c r="X51" s="164"/>
      <c r="Y51" s="164"/>
      <c r="Z51" s="164"/>
      <c r="AA51" s="164"/>
      <c r="AB51" s="164"/>
      <c r="AC51" s="164"/>
      <c r="AD51" s="164"/>
      <c r="AE51" s="164"/>
      <c r="AF51" s="164"/>
    </row>
    <row r="52" ht="19.5" customHeight="1">
      <c r="D52" s="119"/>
      <c r="E52" s="237"/>
      <c r="F52" s="238"/>
      <c r="G52" s="256" t="str">
        <f>'Semana de Teste'!E16</f>
        <v>Rosca Martelo com Halter</v>
      </c>
      <c r="H52" s="257">
        <v>0.6</v>
      </c>
      <c r="I52" s="258">
        <f t="array" ref="I52">H52*'Semana de Teste'!$O$16</f>
        <v>0</v>
      </c>
      <c r="J52" s="259">
        <v>20.0</v>
      </c>
      <c r="K52" s="260">
        <v>0.001041666666666667</v>
      </c>
      <c r="L52" s="261"/>
      <c r="M52" s="262"/>
      <c r="N52" s="263"/>
      <c r="O52" s="264">
        <f t="array" ref="O52">SUM(L52:N52)/(J52*3)</f>
        <v>0</v>
      </c>
      <c r="P52" s="217"/>
      <c r="Q52" s="207"/>
      <c r="R52" s="207"/>
      <c r="S52" s="207"/>
      <c r="T52" s="207"/>
      <c r="U52" s="207"/>
      <c r="V52" s="207"/>
      <c r="W52" s="207"/>
      <c r="X52" s="164"/>
      <c r="Y52" s="164"/>
      <c r="Z52" s="164"/>
      <c r="AA52" s="164"/>
      <c r="AB52" s="164"/>
      <c r="AC52" s="164"/>
      <c r="AD52" s="164"/>
      <c r="AE52" s="164"/>
      <c r="AF52" s="164"/>
    </row>
    <row r="53" ht="19.5" customHeight="1">
      <c r="D53" s="119"/>
      <c r="E53" s="266" t="s">
        <v>115</v>
      </c>
      <c r="F53" s="196">
        <v>9.0</v>
      </c>
      <c r="G53" s="214" t="str">
        <f>'Semana de Teste'!E17</f>
        <v>Agachamento com Barra nas Costas (Back Squat)</v>
      </c>
      <c r="H53" s="215">
        <v>0.6</v>
      </c>
      <c r="I53" s="199">
        <f t="array" ref="I53">H53*'Semana de Teste'!$O$17</f>
        <v>0</v>
      </c>
      <c r="J53" s="200">
        <v>20.0</v>
      </c>
      <c r="K53" s="201">
        <v>0.001041666666666667</v>
      </c>
      <c r="L53" s="202"/>
      <c r="M53" s="203"/>
      <c r="N53" s="268"/>
      <c r="O53" s="216">
        <f t="array" ref="O53">SUM(L53:N53)/(J53*3)</f>
        <v>0</v>
      </c>
      <c r="P53" s="217"/>
      <c r="Q53" s="207"/>
      <c r="R53" s="207"/>
      <c r="S53" s="207"/>
      <c r="T53" s="207"/>
      <c r="U53" s="207"/>
      <c r="V53" s="207"/>
      <c r="W53" s="207"/>
      <c r="X53" s="164"/>
      <c r="Y53" s="164"/>
      <c r="Z53" s="164"/>
      <c r="AA53" s="164"/>
      <c r="AB53" s="164"/>
      <c r="AC53" s="164"/>
      <c r="AD53" s="164"/>
      <c r="AE53" s="164"/>
      <c r="AF53" s="164"/>
    </row>
    <row r="54" ht="19.5" customHeight="1">
      <c r="D54" s="119"/>
      <c r="E54" s="212"/>
      <c r="F54" s="213"/>
      <c r="G54" s="214" t="str">
        <f>'Semana de Teste'!E18</f>
        <v>Levantamento Terra ( Deadlift)</v>
      </c>
      <c r="H54" s="215">
        <v>0.6</v>
      </c>
      <c r="I54" s="199">
        <f t="array" ref="I54">H54*'Semana de Teste'!$O$18</f>
        <v>0</v>
      </c>
      <c r="J54" s="200">
        <v>20.0</v>
      </c>
      <c r="K54" s="201">
        <v>0.001041666666666667</v>
      </c>
      <c r="L54" s="202"/>
      <c r="M54" s="203"/>
      <c r="N54" s="268"/>
      <c r="O54" s="216">
        <f t="array" ref="O54">SUM(L54:N54)/(J54*3)</f>
        <v>0</v>
      </c>
      <c r="P54" s="217"/>
      <c r="Q54" s="207"/>
      <c r="R54" s="207"/>
      <c r="S54" s="207"/>
      <c r="T54" s="207"/>
      <c r="U54" s="207"/>
      <c r="V54" s="207"/>
      <c r="W54" s="207"/>
      <c r="X54" s="164"/>
      <c r="Y54" s="164"/>
      <c r="Z54" s="164"/>
      <c r="AA54" s="164"/>
      <c r="AB54" s="164"/>
      <c r="AC54" s="164"/>
      <c r="AD54" s="164"/>
      <c r="AE54" s="164"/>
      <c r="AF54" s="164"/>
    </row>
    <row r="55" ht="19.5" customHeight="1">
      <c r="D55" s="119"/>
      <c r="E55" s="212"/>
      <c r="F55" s="213"/>
      <c r="G55" s="214" t="str">
        <f>'Semana de Teste'!E19</f>
        <v>Afundo com Halteres</v>
      </c>
      <c r="H55" s="215">
        <v>0.6</v>
      </c>
      <c r="I55" s="199">
        <f t="array" ref="I55">H55*'Semana de Teste'!$O$19</f>
        <v>0</v>
      </c>
      <c r="J55" s="200">
        <v>20.0</v>
      </c>
      <c r="K55" s="201">
        <v>0.001041666666666667</v>
      </c>
      <c r="L55" s="202"/>
      <c r="M55" s="203"/>
      <c r="N55" s="268"/>
      <c r="O55" s="216">
        <f t="array" ref="O55">SUM(L55:N55)/(J55*3)</f>
        <v>0</v>
      </c>
      <c r="P55" s="217"/>
      <c r="Q55" s="207"/>
      <c r="R55" s="207"/>
      <c r="S55" s="207"/>
      <c r="T55" s="207"/>
      <c r="U55" s="207"/>
      <c r="V55" s="207"/>
      <c r="W55" s="207"/>
      <c r="X55" s="164"/>
      <c r="Y55" s="164"/>
      <c r="Z55" s="164"/>
      <c r="AA55" s="164"/>
      <c r="AB55" s="164"/>
      <c r="AC55" s="164"/>
      <c r="AD55" s="164"/>
      <c r="AE55" s="164"/>
      <c r="AF55" s="164"/>
    </row>
    <row r="56" ht="19.5" customHeight="1">
      <c r="D56" s="134"/>
      <c r="E56" s="237"/>
      <c r="F56" s="238"/>
      <c r="G56" s="256" t="str">
        <f>'Semana de Teste'!E20</f>
        <v>Stiff com Halter</v>
      </c>
      <c r="H56" s="257">
        <v>0.6</v>
      </c>
      <c r="I56" s="258">
        <f t="array" ref="I56">H56*'Semana de Teste'!$O$20</f>
        <v>0</v>
      </c>
      <c r="J56" s="259">
        <v>20.0</v>
      </c>
      <c r="K56" s="260">
        <v>0.001041666666666667</v>
      </c>
      <c r="L56" s="261"/>
      <c r="M56" s="262"/>
      <c r="N56" s="263"/>
      <c r="O56" s="264">
        <f t="array" ref="O56">SUM(L56:N56)/(J56*3)</f>
        <v>0</v>
      </c>
      <c r="P56" s="271"/>
      <c r="Q56" s="207"/>
      <c r="R56" s="207"/>
      <c r="S56" s="207"/>
      <c r="T56" s="207"/>
      <c r="U56" s="207"/>
      <c r="V56" s="207"/>
      <c r="W56" s="207"/>
      <c r="X56" s="164"/>
      <c r="Y56" s="164"/>
      <c r="Z56" s="164"/>
      <c r="AA56" s="164"/>
      <c r="AB56" s="164"/>
      <c r="AC56" s="164"/>
      <c r="AD56" s="164"/>
      <c r="AE56" s="164"/>
      <c r="AF56" s="164"/>
    </row>
    <row r="57" ht="19.5" customHeight="1">
      <c r="D57" s="272"/>
      <c r="E57" s="273"/>
      <c r="F57" s="274"/>
      <c r="G57" s="275"/>
      <c r="H57" s="304"/>
      <c r="I57" s="278"/>
      <c r="J57" s="279"/>
      <c r="K57" s="305"/>
      <c r="L57" s="306"/>
      <c r="M57" s="307"/>
      <c r="N57" s="307"/>
      <c r="P57" s="308"/>
      <c r="Q57" s="207"/>
      <c r="R57" s="207"/>
      <c r="S57" s="207"/>
      <c r="T57" s="207"/>
      <c r="U57" s="207"/>
      <c r="V57" s="207"/>
      <c r="W57" s="207"/>
      <c r="X57" s="164"/>
      <c r="Y57" s="164"/>
      <c r="Z57" s="164"/>
      <c r="AA57" s="164"/>
      <c r="AB57" s="164"/>
      <c r="AC57" s="164"/>
      <c r="AD57" s="164"/>
      <c r="AE57" s="164"/>
      <c r="AF57" s="164"/>
    </row>
    <row r="58" ht="19.5" customHeight="1">
      <c r="D58" s="309">
        <v>4.0</v>
      </c>
      <c r="E58" s="195" t="s">
        <v>106</v>
      </c>
      <c r="F58" s="196">
        <v>10.0</v>
      </c>
      <c r="G58" s="197" t="str">
        <f>'Semana de Teste'!$E$7</f>
        <v>Supino Reto ( Bench Press ) </v>
      </c>
      <c r="H58" s="314">
        <v>0.6</v>
      </c>
      <c r="I58" s="245">
        <f t="array" ref="I58">H58*'Semana de Teste'!$O$7</f>
        <v>54.3936</v>
      </c>
      <c r="J58" s="246">
        <v>20.0</v>
      </c>
      <c r="K58" s="315">
        <v>0.001041666666666667</v>
      </c>
      <c r="L58" s="316"/>
      <c r="M58" s="317"/>
      <c r="N58" s="250"/>
      <c r="O58" s="205">
        <f t="array" ref="O58">SUM(L58:N58)/(J58*3)</f>
        <v>0</v>
      </c>
      <c r="P58" s="206">
        <f>AVERAGE(O58:O71)</f>
        <v>0</v>
      </c>
      <c r="Q58" s="207"/>
      <c r="R58" s="207"/>
      <c r="S58" s="207"/>
      <c r="T58" s="207"/>
      <c r="U58" s="207"/>
      <c r="V58" s="207"/>
      <c r="W58" s="207"/>
      <c r="X58" s="164"/>
      <c r="Y58" s="164"/>
      <c r="Z58" s="164"/>
      <c r="AA58" s="164"/>
      <c r="AB58" s="164"/>
      <c r="AC58" s="164"/>
      <c r="AD58" s="164"/>
      <c r="AE58" s="164"/>
      <c r="AF58" s="164"/>
    </row>
    <row r="59" ht="19.5" customHeight="1">
      <c r="D59" s="119"/>
      <c r="E59" s="212"/>
      <c r="F59" s="213"/>
      <c r="G59" s="214" t="str">
        <f>'Semana de Teste'!$E$8</f>
        <v>Supino Inclinado com Barra</v>
      </c>
      <c r="H59" s="215">
        <v>0.6</v>
      </c>
      <c r="I59" s="199">
        <f t="array" ref="I59">H59*'Semana de Teste'!$O$8</f>
        <v>0</v>
      </c>
      <c r="J59" s="200">
        <v>20.0</v>
      </c>
      <c r="K59" s="318">
        <v>0.001041666666666667</v>
      </c>
      <c r="L59" s="319"/>
      <c r="M59" s="320"/>
      <c r="N59" s="268"/>
      <c r="O59" s="216">
        <f t="array" ref="O59">SUM(L59:N59)/(J59*3)</f>
        <v>0</v>
      </c>
      <c r="P59" s="217"/>
      <c r="Q59" s="207"/>
      <c r="R59" s="207"/>
      <c r="S59" s="207"/>
      <c r="T59" s="207"/>
      <c r="U59" s="207"/>
      <c r="V59" s="207"/>
      <c r="W59" s="207"/>
      <c r="X59" s="164"/>
      <c r="Y59" s="164"/>
      <c r="Z59" s="164"/>
      <c r="AA59" s="164"/>
      <c r="AB59" s="164"/>
      <c r="AC59" s="164"/>
      <c r="AD59" s="164"/>
      <c r="AE59" s="164"/>
      <c r="AF59" s="164"/>
    </row>
    <row r="60" ht="19.5" customHeight="1">
      <c r="D60" s="119"/>
      <c r="E60" s="212"/>
      <c r="F60" s="213"/>
      <c r="G60" s="214" t="str">
        <f>'Semana de Teste'!$E$9</f>
        <v>Dumbbell Shoulder Press </v>
      </c>
      <c r="H60" s="215">
        <v>0.6</v>
      </c>
      <c r="I60" s="199">
        <f t="array" ref="I60">H60*'Semana de Teste'!$O$9</f>
        <v>0</v>
      </c>
      <c r="J60" s="200">
        <v>20.0</v>
      </c>
      <c r="K60" s="318">
        <v>0.001041666666666667</v>
      </c>
      <c r="L60" s="319"/>
      <c r="M60" s="320"/>
      <c r="N60" s="268"/>
      <c r="O60" s="216">
        <f t="array" ref="O60">SUM(L60:N60)/(J60*3)</f>
        <v>0</v>
      </c>
      <c r="P60" s="217"/>
      <c r="Q60" s="207"/>
      <c r="R60" s="207"/>
      <c r="S60" s="207"/>
      <c r="T60" s="207"/>
      <c r="U60" s="207"/>
      <c r="V60" s="207"/>
      <c r="W60" s="207"/>
      <c r="X60" s="164"/>
      <c r="Y60" s="164"/>
      <c r="Z60" s="164"/>
      <c r="AA60" s="164"/>
      <c r="AB60" s="164"/>
      <c r="AC60" s="164"/>
      <c r="AD60" s="164"/>
      <c r="AE60" s="164"/>
      <c r="AF60" s="164"/>
    </row>
    <row r="61" ht="19.5" customHeight="1">
      <c r="D61" s="119"/>
      <c r="E61" s="212"/>
      <c r="F61" s="213"/>
      <c r="G61" s="214" t="str">
        <f>'Semana de Teste'!$E$10</f>
        <v>Remada Alta com Barra</v>
      </c>
      <c r="H61" s="215">
        <v>0.6</v>
      </c>
      <c r="I61" s="199">
        <f t="array" ref="I61">H61*'Semana de Teste'!$O$10</f>
        <v>0</v>
      </c>
      <c r="J61" s="200">
        <v>20.0</v>
      </c>
      <c r="K61" s="318">
        <v>0.001041666666666667</v>
      </c>
      <c r="L61" s="319"/>
      <c r="M61" s="320"/>
      <c r="N61" s="268"/>
      <c r="O61" s="216">
        <f t="array" ref="O61">SUM(L61:N61)/(J61*3)</f>
        <v>0</v>
      </c>
      <c r="P61" s="217"/>
      <c r="Q61" s="207"/>
      <c r="R61" s="207"/>
      <c r="S61" s="207"/>
      <c r="T61" s="207"/>
      <c r="U61" s="207"/>
      <c r="V61" s="207"/>
      <c r="W61" s="207"/>
      <c r="X61" s="164"/>
      <c r="Y61" s="164"/>
      <c r="Z61" s="164"/>
      <c r="AA61" s="164"/>
      <c r="AB61" s="164"/>
      <c r="AC61" s="164"/>
      <c r="AD61" s="164"/>
      <c r="AE61" s="164"/>
      <c r="AF61" s="164"/>
    </row>
    <row r="62" ht="19.5" customHeight="1">
      <c r="D62" s="119"/>
      <c r="E62" s="237"/>
      <c r="F62" s="238"/>
      <c r="G62" s="214" t="str">
        <f>'Semana de Teste'!$E$11</f>
        <v>Tríceps Pulley</v>
      </c>
      <c r="H62" s="215">
        <v>0.6</v>
      </c>
      <c r="I62" s="199">
        <f t="array" ref="I62">H62*'Semana de Teste'!$O$11</f>
        <v>0</v>
      </c>
      <c r="J62" s="200">
        <v>20.0</v>
      </c>
      <c r="K62" s="318">
        <v>0.001041666666666667</v>
      </c>
      <c r="L62" s="319"/>
      <c r="M62" s="320"/>
      <c r="N62" s="268"/>
      <c r="O62" s="216">
        <f t="array" ref="O62">SUM(L62:N62)/(J62*3)</f>
        <v>0</v>
      </c>
      <c r="P62" s="217"/>
      <c r="Q62" s="207"/>
      <c r="R62" s="207"/>
      <c r="S62" s="207"/>
      <c r="T62" s="207"/>
      <c r="U62" s="207"/>
      <c r="V62" s="207"/>
      <c r="W62" s="207"/>
      <c r="X62" s="164"/>
      <c r="Y62" s="164"/>
      <c r="Z62" s="164"/>
      <c r="AA62" s="164"/>
      <c r="AB62" s="164"/>
      <c r="AC62" s="164"/>
      <c r="AD62" s="164"/>
      <c r="AE62" s="164"/>
      <c r="AF62" s="164"/>
    </row>
    <row r="63" ht="19.5" customHeight="1">
      <c r="D63" s="119"/>
      <c r="E63" s="321" t="s">
        <v>30</v>
      </c>
      <c r="F63" s="322">
        <v>11.0</v>
      </c>
      <c r="G63" s="323" t="str">
        <f>'Semana de Teste'!$E$12</f>
        <v>Remada Inclinada ( Barbell Row )</v>
      </c>
      <c r="H63" s="324">
        <v>0.6</v>
      </c>
      <c r="I63" s="325">
        <f t="array" ref="I63">H63*'Semana de Teste'!$O$12</f>
        <v>0</v>
      </c>
      <c r="J63" s="326">
        <v>20.0</v>
      </c>
      <c r="K63" s="327">
        <v>0.001041666666666667</v>
      </c>
      <c r="L63" s="328"/>
      <c r="M63" s="329"/>
      <c r="N63" s="330"/>
      <c r="O63" s="331">
        <f t="array" ref="O63">SUM(L63:N63)/(J63*3)</f>
        <v>0</v>
      </c>
      <c r="P63" s="217"/>
      <c r="Q63" s="207"/>
      <c r="R63" s="207"/>
      <c r="S63" s="207"/>
      <c r="T63" s="207"/>
      <c r="U63" s="207"/>
      <c r="V63" s="207"/>
      <c r="W63" s="207"/>
      <c r="X63" s="332"/>
      <c r="Y63" s="332"/>
      <c r="Z63" s="332"/>
      <c r="AA63" s="332"/>
      <c r="AB63" s="332"/>
      <c r="AC63" s="332"/>
      <c r="AD63" s="332"/>
      <c r="AE63" s="332"/>
      <c r="AF63" s="332"/>
    </row>
    <row r="64" ht="19.5" customHeight="1">
      <c r="D64" s="119"/>
      <c r="E64" s="212"/>
      <c r="F64" s="213"/>
      <c r="G64" s="214" t="str">
        <f>'Semana de Teste'!$E$13</f>
        <v>Puxada Frontal ( Supinação )</v>
      </c>
      <c r="H64" s="215">
        <v>0.6</v>
      </c>
      <c r="I64" s="199">
        <f t="array" ref="I64">H64*'Semana de Teste'!$O$13</f>
        <v>0</v>
      </c>
      <c r="J64" s="200">
        <v>20.0</v>
      </c>
      <c r="K64" s="318">
        <v>0.001041666666666667</v>
      </c>
      <c r="L64" s="319"/>
      <c r="M64" s="320"/>
      <c r="N64" s="268"/>
      <c r="O64" s="216">
        <f t="array" ref="O64">SUM(L64:N64)/(J64*3)</f>
        <v>0</v>
      </c>
      <c r="P64" s="217"/>
      <c r="Q64" s="207"/>
      <c r="R64" s="207"/>
      <c r="S64" s="207"/>
      <c r="T64" s="207"/>
      <c r="U64" s="207"/>
      <c r="V64" s="207"/>
      <c r="W64" s="207"/>
      <c r="X64" s="332"/>
      <c r="Y64" s="332"/>
      <c r="Z64" s="332"/>
      <c r="AA64" s="332"/>
      <c r="AB64" s="332"/>
      <c r="AC64" s="332"/>
      <c r="AD64" s="332"/>
      <c r="AE64" s="332"/>
      <c r="AF64" s="332"/>
    </row>
    <row r="65" ht="19.5" customHeight="1">
      <c r="D65" s="119"/>
      <c r="E65" s="212"/>
      <c r="F65" s="213"/>
      <c r="G65" s="214" t="str">
        <f>'Semana de Teste'!$E$14</f>
        <v>Remada Inclinada com Halter</v>
      </c>
      <c r="H65" s="215">
        <v>0.6</v>
      </c>
      <c r="I65" s="199">
        <f t="array" ref="I65">H65*'Semana de Teste'!$O$14</f>
        <v>0</v>
      </c>
      <c r="J65" s="200">
        <v>20.0</v>
      </c>
      <c r="K65" s="318">
        <v>0.001041666666666667</v>
      </c>
      <c r="L65" s="319"/>
      <c r="M65" s="320"/>
      <c r="N65" s="268"/>
      <c r="O65" s="216">
        <f t="array" ref="O65">SUM(L65:N65)/(J65*3)</f>
        <v>0</v>
      </c>
      <c r="P65" s="217"/>
      <c r="Q65" s="207"/>
      <c r="R65" s="207"/>
      <c r="S65" s="207"/>
      <c r="T65" s="207"/>
      <c r="U65" s="207"/>
      <c r="V65" s="207"/>
      <c r="W65" s="207"/>
      <c r="X65" s="332"/>
      <c r="Y65" s="332"/>
      <c r="Z65" s="332"/>
      <c r="AA65" s="332"/>
      <c r="AB65" s="332"/>
      <c r="AC65" s="332"/>
      <c r="AD65" s="332"/>
      <c r="AE65" s="332"/>
      <c r="AF65" s="332"/>
    </row>
    <row r="66" ht="19.5" customHeight="1">
      <c r="D66" s="119"/>
      <c r="E66" s="212"/>
      <c r="F66" s="213"/>
      <c r="G66" s="214" t="str">
        <f>'Semana de Teste'!$E$15</f>
        <v>Voador Inverso no banco inclinado com Halter</v>
      </c>
      <c r="H66" s="215">
        <v>0.6</v>
      </c>
      <c r="I66" s="199">
        <f t="array" ref="I66">H66*'Semana de Teste'!$O$15</f>
        <v>0</v>
      </c>
      <c r="J66" s="200">
        <v>20.0</v>
      </c>
      <c r="K66" s="318">
        <v>0.001041666666666667</v>
      </c>
      <c r="L66" s="319"/>
      <c r="M66" s="320"/>
      <c r="N66" s="268"/>
      <c r="O66" s="216">
        <f t="array" ref="O66">SUM(L66:N66)/(J66*3)</f>
        <v>0</v>
      </c>
      <c r="P66" s="217"/>
      <c r="Q66" s="207"/>
      <c r="R66" s="207"/>
      <c r="S66" s="207"/>
      <c r="T66" s="207"/>
      <c r="U66" s="207"/>
      <c r="V66" s="207"/>
      <c r="W66" s="207"/>
      <c r="X66" s="332"/>
      <c r="Y66" s="332"/>
      <c r="Z66" s="332"/>
      <c r="AA66" s="332"/>
      <c r="AB66" s="332"/>
      <c r="AC66" s="332"/>
      <c r="AD66" s="332"/>
      <c r="AE66" s="332"/>
      <c r="AF66" s="332"/>
    </row>
    <row r="67" ht="19.5" customHeight="1">
      <c r="D67" s="119"/>
      <c r="E67" s="333"/>
      <c r="F67" s="334"/>
      <c r="G67" s="335" t="str">
        <f>'Semana de Teste'!$E$16</f>
        <v>Rosca Martelo com Halter</v>
      </c>
      <c r="H67" s="336">
        <v>0.6</v>
      </c>
      <c r="I67" s="337">
        <f t="array" ref="I67">H67*'Semana de Teste'!$O$16</f>
        <v>0</v>
      </c>
      <c r="J67" s="338">
        <v>20.0</v>
      </c>
      <c r="K67" s="339">
        <v>0.001041666666666667</v>
      </c>
      <c r="L67" s="340"/>
      <c r="M67" s="341"/>
      <c r="N67" s="342"/>
      <c r="O67" s="343">
        <f t="array" ref="O67">SUM(L67:N67)/(J67*3)</f>
        <v>0</v>
      </c>
      <c r="P67" s="217"/>
      <c r="Q67" s="207"/>
      <c r="R67" s="207"/>
      <c r="S67" s="207"/>
      <c r="T67" s="207"/>
      <c r="U67" s="207"/>
      <c r="V67" s="207"/>
      <c r="W67" s="207"/>
      <c r="X67" s="332"/>
      <c r="Y67" s="332"/>
      <c r="Z67" s="332"/>
      <c r="AA67" s="332"/>
      <c r="AB67" s="332"/>
      <c r="AC67" s="332"/>
      <c r="AD67" s="332"/>
      <c r="AE67" s="332"/>
      <c r="AF67" s="332"/>
    </row>
    <row r="68" ht="19.5" customHeight="1">
      <c r="D68" s="119"/>
      <c r="E68" s="266" t="s">
        <v>115</v>
      </c>
      <c r="F68" s="344">
        <v>12.0</v>
      </c>
      <c r="G68" s="214" t="str">
        <f>'Semana de Teste'!$E$17</f>
        <v>Agachamento com Barra nas Costas (Back Squat)</v>
      </c>
      <c r="H68" s="215">
        <v>0.6</v>
      </c>
      <c r="I68" s="199">
        <f t="array" ref="I68">H68*'Semana de Teste'!$O$17</f>
        <v>0</v>
      </c>
      <c r="J68" s="200">
        <v>20.0</v>
      </c>
      <c r="K68" s="318">
        <v>0.001041666666666667</v>
      </c>
      <c r="L68" s="319"/>
      <c r="M68" s="320"/>
      <c r="N68" s="268"/>
      <c r="O68" s="216">
        <f t="array" ref="O68">SUM(L68:N68)/(J68*3)</f>
        <v>0</v>
      </c>
      <c r="P68" s="217"/>
      <c r="Q68" s="207"/>
      <c r="R68" s="207"/>
      <c r="S68" s="207"/>
      <c r="T68" s="207"/>
      <c r="U68" s="207"/>
      <c r="V68" s="207"/>
      <c r="W68" s="207"/>
      <c r="X68" s="332"/>
      <c r="Y68" s="332"/>
      <c r="Z68" s="332"/>
      <c r="AA68" s="332"/>
      <c r="AB68" s="332"/>
      <c r="AC68" s="332"/>
      <c r="AD68" s="332"/>
      <c r="AE68" s="332"/>
      <c r="AF68" s="332"/>
    </row>
    <row r="69" ht="19.5" customHeight="1">
      <c r="D69" s="119"/>
      <c r="E69" s="212"/>
      <c r="F69" s="213"/>
      <c r="G69" s="214" t="str">
        <f>'Semana de Teste'!$E$18</f>
        <v>Levantamento Terra ( Deadlift)</v>
      </c>
      <c r="H69" s="215">
        <v>0.6</v>
      </c>
      <c r="I69" s="199">
        <f t="array" ref="I69">H69*'Semana de Teste'!$O$18</f>
        <v>0</v>
      </c>
      <c r="J69" s="200">
        <v>20.0</v>
      </c>
      <c r="K69" s="318">
        <v>0.001041666666666667</v>
      </c>
      <c r="L69" s="319"/>
      <c r="M69" s="320"/>
      <c r="N69" s="268"/>
      <c r="O69" s="216">
        <f t="array" ref="O69">SUM(L69:N69)/(J69*3)</f>
        <v>0</v>
      </c>
      <c r="P69" s="217"/>
      <c r="Q69" s="207"/>
      <c r="R69" s="207"/>
      <c r="S69" s="207"/>
      <c r="T69" s="207"/>
      <c r="U69" s="207"/>
      <c r="V69" s="207"/>
      <c r="W69" s="207"/>
      <c r="X69" s="332"/>
      <c r="Y69" s="332"/>
      <c r="Z69" s="332"/>
      <c r="AA69" s="332"/>
      <c r="AB69" s="332"/>
      <c r="AC69" s="332"/>
      <c r="AD69" s="332"/>
      <c r="AE69" s="332"/>
      <c r="AF69" s="332"/>
    </row>
    <row r="70" ht="19.5" customHeight="1">
      <c r="D70" s="119"/>
      <c r="E70" s="212"/>
      <c r="F70" s="213"/>
      <c r="G70" s="214" t="str">
        <f>'Semana de Teste'!$E$19</f>
        <v>Afundo com Halteres</v>
      </c>
      <c r="H70" s="215">
        <v>0.6</v>
      </c>
      <c r="I70" s="199">
        <f t="array" ref="I70">H70*'Semana de Teste'!$O$19</f>
        <v>0</v>
      </c>
      <c r="J70" s="200">
        <v>20.0</v>
      </c>
      <c r="K70" s="318">
        <v>0.001041666666666667</v>
      </c>
      <c r="L70" s="319"/>
      <c r="M70" s="320"/>
      <c r="N70" s="268"/>
      <c r="O70" s="216">
        <f t="array" ref="O70">SUM(L70:N70)/(J70*3)</f>
        <v>0</v>
      </c>
      <c r="P70" s="217"/>
      <c r="Q70" s="207"/>
      <c r="R70" s="207"/>
      <c r="S70" s="207"/>
      <c r="T70" s="207"/>
      <c r="U70" s="207"/>
      <c r="V70" s="207"/>
      <c r="W70" s="207"/>
      <c r="X70" s="332"/>
      <c r="Y70" s="332"/>
      <c r="Z70" s="332"/>
      <c r="AA70" s="332"/>
      <c r="AB70" s="332"/>
      <c r="AC70" s="332"/>
      <c r="AD70" s="332"/>
      <c r="AE70" s="332"/>
      <c r="AF70" s="332"/>
    </row>
    <row r="71" ht="19.5" customHeight="1">
      <c r="D71" s="134"/>
      <c r="E71" s="237"/>
      <c r="F71" s="238"/>
      <c r="G71" s="256" t="str">
        <f>'Semana de Teste'!$E$20</f>
        <v>Stiff com Halter</v>
      </c>
      <c r="H71" s="257">
        <v>0.6</v>
      </c>
      <c r="I71" s="258">
        <f t="array" ref="I71">H71*'Semana de Teste'!$O$20</f>
        <v>0</v>
      </c>
      <c r="J71" s="259">
        <v>20.0</v>
      </c>
      <c r="K71" s="345">
        <v>0.001041666666666667</v>
      </c>
      <c r="L71" s="346"/>
      <c r="M71" s="347"/>
      <c r="N71" s="263"/>
      <c r="O71" s="264">
        <f t="array" ref="O71">SUM(L71:N71)/(J71*3)</f>
        <v>0</v>
      </c>
      <c r="P71" s="271"/>
      <c r="Q71" s="207"/>
      <c r="R71" s="207"/>
      <c r="S71" s="207"/>
      <c r="T71" s="207"/>
      <c r="U71" s="207"/>
      <c r="V71" s="207"/>
      <c r="W71" s="207"/>
      <c r="X71" s="332"/>
      <c r="Y71" s="332"/>
      <c r="Z71" s="332"/>
      <c r="AA71" s="332"/>
      <c r="AB71" s="332"/>
      <c r="AC71" s="332"/>
      <c r="AD71" s="332"/>
      <c r="AE71" s="332"/>
      <c r="AF71" s="332"/>
    </row>
    <row r="72" ht="12.75" customHeight="1">
      <c r="X72" s="348"/>
      <c r="Y72" s="348"/>
      <c r="Z72" s="348"/>
      <c r="AA72" s="348"/>
      <c r="AB72" s="348"/>
      <c r="AC72" s="348"/>
      <c r="AD72" s="348"/>
      <c r="AE72" s="348"/>
      <c r="AF72" s="348"/>
    </row>
    <row r="73" ht="12.75" customHeight="1">
      <c r="X73" s="348"/>
      <c r="Y73" s="348"/>
      <c r="Z73" s="348"/>
      <c r="AA73" s="348"/>
      <c r="AB73" s="348"/>
      <c r="AC73" s="348"/>
      <c r="AD73" s="348"/>
      <c r="AE73" s="348"/>
      <c r="AF73" s="348"/>
    </row>
    <row r="74" ht="12.75" customHeight="1">
      <c r="X74" s="348"/>
      <c r="Y74" s="348"/>
      <c r="Z74" s="348"/>
      <c r="AA74" s="348"/>
      <c r="AB74" s="348"/>
      <c r="AC74" s="348"/>
      <c r="AD74" s="348"/>
      <c r="AE74" s="348"/>
      <c r="AF74" s="348"/>
    </row>
    <row r="75" ht="12.75" customHeight="1">
      <c r="X75" s="348"/>
      <c r="Y75" s="348"/>
      <c r="Z75" s="348"/>
      <c r="AA75" s="348"/>
      <c r="AB75" s="348"/>
      <c r="AC75" s="348"/>
      <c r="AD75" s="348"/>
      <c r="AE75" s="348"/>
      <c r="AF75" s="348"/>
    </row>
    <row r="76" ht="12.75" customHeight="1">
      <c r="X76" s="348"/>
      <c r="Y76" s="348"/>
      <c r="Z76" s="348"/>
      <c r="AA76" s="348"/>
      <c r="AB76" s="348"/>
      <c r="AC76" s="348"/>
      <c r="AD76" s="348"/>
      <c r="AE76" s="348"/>
      <c r="AF76" s="348"/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</sheetData>
  <mergeCells count="96">
    <mergeCell ref="E38:E41"/>
    <mergeCell ref="F38:F41"/>
    <mergeCell ref="E33:E37"/>
    <mergeCell ref="E43:E47"/>
    <mergeCell ref="P28:P41"/>
    <mergeCell ref="P43:P56"/>
    <mergeCell ref="P58:P71"/>
    <mergeCell ref="D3:H4"/>
    <mergeCell ref="P3:P4"/>
    <mergeCell ref="P5:P6"/>
    <mergeCell ref="P7:P8"/>
    <mergeCell ref="E12:F12"/>
    <mergeCell ref="D13:D26"/>
    <mergeCell ref="P13:P26"/>
    <mergeCell ref="E18:E22"/>
    <mergeCell ref="F18:F22"/>
    <mergeCell ref="D28:D41"/>
    <mergeCell ref="E28:E32"/>
    <mergeCell ref="F28:F32"/>
    <mergeCell ref="F33:F37"/>
    <mergeCell ref="F43:F47"/>
    <mergeCell ref="E58:E62"/>
    <mergeCell ref="E63:E67"/>
    <mergeCell ref="F63:F67"/>
    <mergeCell ref="E68:E71"/>
    <mergeCell ref="F68:F71"/>
    <mergeCell ref="D43:D56"/>
    <mergeCell ref="E48:E52"/>
    <mergeCell ref="F48:F52"/>
    <mergeCell ref="E53:E56"/>
    <mergeCell ref="F53:F56"/>
    <mergeCell ref="D58:D71"/>
    <mergeCell ref="F58:F62"/>
    <mergeCell ref="R22:R25"/>
    <mergeCell ref="R26:R29"/>
    <mergeCell ref="S14:S15"/>
    <mergeCell ref="S16:S17"/>
    <mergeCell ref="R18:R21"/>
    <mergeCell ref="S18:S19"/>
    <mergeCell ref="S20:S21"/>
    <mergeCell ref="S22:S23"/>
    <mergeCell ref="S24:S25"/>
    <mergeCell ref="S35:S36"/>
    <mergeCell ref="S37:S38"/>
    <mergeCell ref="S39:S40"/>
    <mergeCell ref="S41:S42"/>
    <mergeCell ref="S43:S44"/>
    <mergeCell ref="S26:S27"/>
    <mergeCell ref="T26:T27"/>
    <mergeCell ref="U26:U27"/>
    <mergeCell ref="S28:S29"/>
    <mergeCell ref="T28:T29"/>
    <mergeCell ref="U28:U29"/>
    <mergeCell ref="S33:S34"/>
    <mergeCell ref="E13:E17"/>
    <mergeCell ref="F13:F17"/>
    <mergeCell ref="P9:P10"/>
    <mergeCell ref="R14:R17"/>
    <mergeCell ref="T14:T15"/>
    <mergeCell ref="U14:U15"/>
    <mergeCell ref="X14:X15"/>
    <mergeCell ref="Y14:Y15"/>
    <mergeCell ref="Z14:Z15"/>
    <mergeCell ref="Z16:Z17"/>
    <mergeCell ref="X16:X17"/>
    <mergeCell ref="Y16:Y17"/>
    <mergeCell ref="X18:X19"/>
    <mergeCell ref="Y18:Y19"/>
    <mergeCell ref="Z18:Z19"/>
    <mergeCell ref="Y20:Y21"/>
    <mergeCell ref="Z20:Z21"/>
    <mergeCell ref="E23:E26"/>
    <mergeCell ref="F23:F26"/>
    <mergeCell ref="T22:T23"/>
    <mergeCell ref="T24:T25"/>
    <mergeCell ref="T16:T17"/>
    <mergeCell ref="U16:U17"/>
    <mergeCell ref="T18:T19"/>
    <mergeCell ref="U18:U19"/>
    <mergeCell ref="T20:T21"/>
    <mergeCell ref="U20:U21"/>
    <mergeCell ref="U22:U23"/>
    <mergeCell ref="U24:U25"/>
    <mergeCell ref="X26:X27"/>
    <mergeCell ref="Y26:Y27"/>
    <mergeCell ref="Z26:Z27"/>
    <mergeCell ref="X28:X29"/>
    <mergeCell ref="Y28:Y29"/>
    <mergeCell ref="Z28:Z29"/>
    <mergeCell ref="X20:X21"/>
    <mergeCell ref="X22:X23"/>
    <mergeCell ref="Y22:Y23"/>
    <mergeCell ref="Z22:Z23"/>
    <mergeCell ref="X24:X25"/>
    <mergeCell ref="Y24:Y25"/>
    <mergeCell ref="Z24:Z25"/>
  </mergeCells>
  <conditionalFormatting sqref="L13:N26 L28:N41 L43:N56 L58:N71">
    <cfRule type="cellIs" dxfId="7" priority="1" operator="greaterThanOrEqual">
      <formula>20</formula>
    </cfRule>
  </conditionalFormatting>
  <conditionalFormatting sqref="E6:H8 E10:H10 O13:P26 O28:P41 O43:P56 O58:P71">
    <cfRule type="cellIs" dxfId="0" priority="2" operator="equal">
      <formula>"100%"</formula>
    </cfRule>
  </conditionalFormatting>
  <conditionalFormatting sqref="E6:H8 E10:H10 O13:P26 O28:P41 O43:P56 O58:P71">
    <cfRule type="cellIs" dxfId="8" priority="3" operator="between">
      <formula>"99%"</formula>
      <formula>"90%"</formula>
    </cfRule>
  </conditionalFormatting>
  <conditionalFormatting sqref="E6:H8 E10:H10 O13:P26 O28:P41 O43:P56 O58:P71">
    <cfRule type="cellIs" dxfId="2" priority="4" operator="between">
      <formula>"89%"</formula>
      <formula>"80%"</formula>
    </cfRule>
  </conditionalFormatting>
  <conditionalFormatting sqref="E6:H8 E10:H10 O13:P26 O28:P41 O43:P56 O58:P71">
    <cfRule type="cellIs" dxfId="3" priority="5" operator="between">
      <formula>"79%"</formula>
      <formula>"70%"</formula>
    </cfRule>
  </conditionalFormatting>
  <conditionalFormatting sqref="E6:H8 E10:H10 O13:P26 O28:P41 O43:P56 O58:P71">
    <cfRule type="cellIs" dxfId="4" priority="6" operator="between">
      <formula>"69%"</formula>
      <formula>"60%"</formula>
    </cfRule>
  </conditionalFormatting>
  <conditionalFormatting sqref="E6:H8 E10:H10 O13:P26 O28:P41 O43:P56 O58:P71">
    <cfRule type="cellIs" dxfId="5" priority="7" operator="between">
      <formula>"59%"</formula>
      <formula>"50%"</formula>
    </cfRule>
  </conditionalFormatting>
  <conditionalFormatting sqref="E6:H8 E10:H10 O13:P26 O28:P41 O43:P56 O58:P71">
    <cfRule type="cellIs" dxfId="6" priority="8" operator="lessThan">
      <formula>"49%"</formula>
    </cfRule>
  </conditionalFormatting>
  <dataValidations>
    <dataValidation type="list" allowBlank="1" showErrorMessage="1" sqref="Y14 Y16 Y18 Y20 Y22 Y24 Y26 Y28">
      <formula1>"Muito Leve,Leve,Moderado,Difícil ,Muito Difícil ,Exaustivo ,-"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29"/>
    <col customWidth="1" hidden="1" min="2" max="2" width="8.86"/>
    <col customWidth="1" min="3" max="3" width="21.86"/>
    <col customWidth="1" min="4" max="4" width="19.0"/>
    <col customWidth="1" min="5" max="5" width="41.0"/>
    <col customWidth="1" min="6" max="6" width="14.0"/>
    <col customWidth="1" min="7" max="7" width="14.71"/>
    <col customWidth="1" min="8" max="8" width="12.0"/>
    <col customWidth="1" min="9" max="9" width="12.71"/>
    <col customWidth="1" min="10" max="10" width="14.14"/>
    <col customWidth="1" min="11" max="11" width="13.43"/>
    <col customWidth="1" min="12" max="12" width="12.0"/>
    <col customWidth="1" min="13" max="13" width="13.86"/>
    <col customWidth="1" min="14" max="14" width="14.57"/>
    <col customWidth="1" min="15" max="15" width="13.29"/>
    <col customWidth="1" min="16" max="16" width="16.57"/>
    <col customWidth="1" min="17" max="17" width="14.57"/>
    <col customWidth="1" min="18" max="18" width="13.14"/>
    <col customWidth="1" min="19" max="19" width="8.71"/>
    <col customWidth="1" min="20" max="20" width="11.57"/>
    <col customWidth="1" min="21" max="21" width="11.0"/>
    <col customWidth="1" min="22" max="22" width="8.71"/>
    <col customWidth="1" min="23" max="23" width="13.71"/>
    <col customWidth="1" min="24" max="24" width="13.14"/>
    <col customWidth="1" min="25" max="25" width="13.29"/>
    <col customWidth="1" min="26" max="26" width="13.86"/>
    <col customWidth="1" min="27" max="27" width="13.57"/>
    <col customWidth="1" min="28" max="28" width="13.0"/>
    <col customWidth="1" min="29" max="29" width="13.57"/>
    <col customWidth="1" min="30" max="31" width="8.71"/>
  </cols>
  <sheetData>
    <row r="1" ht="12.75" customHeight="1"/>
    <row r="2" ht="12.75" customHeight="1">
      <c r="C2" s="101" t="s">
        <v>123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102"/>
      <c r="W2" s="103" t="s">
        <v>45</v>
      </c>
      <c r="X2" s="103" t="s">
        <v>46</v>
      </c>
      <c r="Y2" s="103" t="s">
        <v>47</v>
      </c>
      <c r="Z2" s="103" t="s">
        <v>48</v>
      </c>
      <c r="AA2" s="103" t="s">
        <v>49</v>
      </c>
      <c r="AB2" s="103" t="s">
        <v>50</v>
      </c>
      <c r="AC2" s="103" t="s">
        <v>51</v>
      </c>
    </row>
    <row r="3" ht="12.75" customHeight="1">
      <c r="C3" s="104"/>
      <c r="U3" s="105"/>
      <c r="W3" s="106" t="s">
        <v>52</v>
      </c>
      <c r="X3" s="106" t="s">
        <v>53</v>
      </c>
      <c r="Y3" s="106" t="s">
        <v>58</v>
      </c>
      <c r="Z3" s="106" t="s">
        <v>56</v>
      </c>
      <c r="AA3" s="106" t="s">
        <v>124</v>
      </c>
      <c r="AB3" s="106" t="s">
        <v>57</v>
      </c>
      <c r="AC3" s="106" t="s">
        <v>58</v>
      </c>
    </row>
    <row r="4" ht="12.75" customHeight="1">
      <c r="C4" s="349"/>
      <c r="D4" s="350"/>
      <c r="E4" s="350"/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1"/>
    </row>
    <row r="5" ht="12.75" customHeight="1">
      <c r="C5" s="108" t="s">
        <v>59</v>
      </c>
      <c r="D5" s="109" t="s">
        <v>60</v>
      </c>
      <c r="E5" s="352" t="s">
        <v>61</v>
      </c>
      <c r="F5" s="353" t="s">
        <v>125</v>
      </c>
      <c r="I5" s="353" t="s">
        <v>126</v>
      </c>
      <c r="M5" s="352" t="s">
        <v>63</v>
      </c>
      <c r="P5" s="352" t="s">
        <v>64</v>
      </c>
      <c r="S5" s="353" t="s">
        <v>127</v>
      </c>
      <c r="T5" s="160" t="s">
        <v>128</v>
      </c>
      <c r="U5" s="354" t="s">
        <v>129</v>
      </c>
    </row>
    <row r="6" ht="12.75" customHeight="1">
      <c r="C6" s="73"/>
      <c r="D6" s="74"/>
      <c r="E6" s="74"/>
      <c r="F6" s="355" t="s">
        <v>101</v>
      </c>
      <c r="G6" s="356" t="s">
        <v>67</v>
      </c>
      <c r="H6" s="356" t="s">
        <v>58</v>
      </c>
      <c r="I6" s="355" t="s">
        <v>130</v>
      </c>
      <c r="J6" s="356" t="s">
        <v>67</v>
      </c>
      <c r="K6" s="355" t="s">
        <v>131</v>
      </c>
      <c r="L6" s="356" t="s">
        <v>58</v>
      </c>
      <c r="M6" s="355" t="s">
        <v>101</v>
      </c>
      <c r="N6" s="356" t="s">
        <v>67</v>
      </c>
      <c r="O6" s="356" t="s">
        <v>58</v>
      </c>
      <c r="P6" s="355" t="s">
        <v>101</v>
      </c>
      <c r="Q6" s="356" t="s">
        <v>67</v>
      </c>
      <c r="R6" s="356" t="s">
        <v>58</v>
      </c>
      <c r="S6" s="74"/>
      <c r="T6" s="74"/>
      <c r="U6" s="107"/>
    </row>
    <row r="7">
      <c r="C7" s="357" t="s">
        <v>68</v>
      </c>
      <c r="D7" s="358">
        <v>1.0</v>
      </c>
      <c r="E7" s="359" t="str">
        <f>'Semana de Teste'!E7</f>
        <v>Supino Reto ( Bench Press ) </v>
      </c>
      <c r="F7" s="360">
        <f t="shared" ref="F7:F20" si="1">I7*80%</f>
        <v>64</v>
      </c>
      <c r="G7" s="116" t="s">
        <v>132</v>
      </c>
      <c r="H7" s="361" t="str">
        <f>'Semana de Teste'!N7</f>
        <v>3 minutos </v>
      </c>
      <c r="I7" s="362">
        <f>'Semana de Teste'!L7</f>
        <v>80</v>
      </c>
      <c r="J7" s="362">
        <f>'Semana de Teste'!M7</f>
        <v>4</v>
      </c>
      <c r="K7" s="363">
        <v>5.0</v>
      </c>
      <c r="L7" s="364" t="s">
        <v>70</v>
      </c>
      <c r="M7" s="115">
        <v>105.0</v>
      </c>
      <c r="N7" s="116">
        <v>5.0</v>
      </c>
      <c r="O7" s="361" t="s">
        <v>70</v>
      </c>
      <c r="P7" s="115">
        <v>108.0</v>
      </c>
      <c r="Q7" s="116">
        <v>3.0</v>
      </c>
      <c r="R7" s="364" t="s">
        <v>70</v>
      </c>
      <c r="S7" s="365">
        <f t="shared" ref="S7:S20" si="2">IF(Q7=1,P7,(Q7*P7*0.0333)+P7)</f>
        <v>118.7892</v>
      </c>
      <c r="T7" s="366">
        <f>'Semana de Teste'!O7</f>
        <v>90.656</v>
      </c>
      <c r="U7" s="367">
        <f t="shared" ref="U7:U20" si="3">IF(S7=0, 0,(S7-T7)/T7)</f>
        <v>0.3103291564</v>
      </c>
    </row>
    <row r="8">
      <c r="C8" s="104"/>
      <c r="D8" s="358">
        <v>2.0</v>
      </c>
      <c r="E8" s="359" t="str">
        <f>'Semana de Teste'!E8</f>
        <v>Supino Inclinado com Barra</v>
      </c>
      <c r="F8" s="360">
        <f t="shared" si="1"/>
        <v>0</v>
      </c>
      <c r="G8" s="116" t="s">
        <v>132</v>
      </c>
      <c r="H8" s="361" t="str">
        <f>'Semana de Teste'!N8</f>
        <v>3 minutos </v>
      </c>
      <c r="I8" s="362" t="str">
        <f>'Semana de Teste'!L8</f>
        <v/>
      </c>
      <c r="J8" s="362" t="str">
        <f>'Semana de Teste'!M8</f>
        <v/>
      </c>
      <c r="K8" s="363"/>
      <c r="L8" s="364" t="s">
        <v>70</v>
      </c>
      <c r="M8" s="115"/>
      <c r="N8" s="116"/>
      <c r="O8" s="361" t="s">
        <v>70</v>
      </c>
      <c r="P8" s="115"/>
      <c r="Q8" s="116"/>
      <c r="R8" s="364" t="s">
        <v>70</v>
      </c>
      <c r="S8" s="368">
        <f t="shared" si="2"/>
        <v>0</v>
      </c>
      <c r="T8" s="366">
        <f>'Semana de Teste'!O8</f>
        <v>0</v>
      </c>
      <c r="U8" s="367">
        <f t="shared" si="3"/>
        <v>0</v>
      </c>
    </row>
    <row r="9">
      <c r="C9" s="104"/>
      <c r="D9" s="358">
        <v>3.0</v>
      </c>
      <c r="E9" s="359" t="str">
        <f>'Semana de Teste'!E9</f>
        <v>Dumbbell Shoulder Press </v>
      </c>
      <c r="F9" s="360">
        <f t="shared" si="1"/>
        <v>0</v>
      </c>
      <c r="G9" s="116" t="s">
        <v>132</v>
      </c>
      <c r="H9" s="361" t="str">
        <f>'Semana de Teste'!N9</f>
        <v>3 minutos </v>
      </c>
      <c r="I9" s="362" t="str">
        <f>'Semana de Teste'!L9</f>
        <v/>
      </c>
      <c r="J9" s="362" t="str">
        <f>'Semana de Teste'!M9</f>
        <v/>
      </c>
      <c r="K9" s="369"/>
      <c r="L9" s="364" t="s">
        <v>70</v>
      </c>
      <c r="M9" s="120"/>
      <c r="N9" s="121"/>
      <c r="O9" s="361" t="s">
        <v>70</v>
      </c>
      <c r="P9" s="120"/>
      <c r="Q9" s="121"/>
      <c r="R9" s="364" t="s">
        <v>70</v>
      </c>
      <c r="S9" s="368">
        <f t="shared" si="2"/>
        <v>0</v>
      </c>
      <c r="T9" s="366">
        <f>'Semana de Teste'!O9</f>
        <v>0</v>
      </c>
      <c r="U9" s="367">
        <f t="shared" si="3"/>
        <v>0</v>
      </c>
    </row>
    <row r="10">
      <c r="C10" s="104"/>
      <c r="D10" s="358">
        <v>4.0</v>
      </c>
      <c r="E10" s="359" t="str">
        <f>'Semana de Teste'!E10</f>
        <v>Remada Alta com Barra</v>
      </c>
      <c r="F10" s="360">
        <f t="shared" si="1"/>
        <v>0</v>
      </c>
      <c r="G10" s="116" t="s">
        <v>132</v>
      </c>
      <c r="H10" s="361" t="str">
        <f>'Semana de Teste'!N10</f>
        <v>3 minutos </v>
      </c>
      <c r="I10" s="362" t="str">
        <f>'Semana de Teste'!L10</f>
        <v/>
      </c>
      <c r="J10" s="362" t="str">
        <f>'Semana de Teste'!M10</f>
        <v/>
      </c>
      <c r="K10" s="369"/>
      <c r="L10" s="364" t="s">
        <v>70</v>
      </c>
      <c r="M10" s="120"/>
      <c r="N10" s="121"/>
      <c r="O10" s="361" t="s">
        <v>70</v>
      </c>
      <c r="P10" s="120"/>
      <c r="Q10" s="121"/>
      <c r="R10" s="364" t="s">
        <v>70</v>
      </c>
      <c r="S10" s="368">
        <f t="shared" si="2"/>
        <v>0</v>
      </c>
      <c r="T10" s="366">
        <f>'Semana de Teste'!O10</f>
        <v>0</v>
      </c>
      <c r="U10" s="367">
        <f t="shared" si="3"/>
        <v>0</v>
      </c>
    </row>
    <row r="11">
      <c r="C11" s="370"/>
      <c r="D11" s="358">
        <v>5.0</v>
      </c>
      <c r="E11" s="359" t="str">
        <f>'Semana de Teste'!E11</f>
        <v>Tríceps Pulley</v>
      </c>
      <c r="F11" s="360">
        <f t="shared" si="1"/>
        <v>0</v>
      </c>
      <c r="G11" s="116" t="s">
        <v>132</v>
      </c>
      <c r="H11" s="361" t="str">
        <f>'Semana de Teste'!N11</f>
        <v>3 minutos </v>
      </c>
      <c r="I11" s="362" t="str">
        <f>'Semana de Teste'!L11</f>
        <v/>
      </c>
      <c r="J11" s="362" t="str">
        <f>'Semana de Teste'!M11</f>
        <v/>
      </c>
      <c r="K11" s="369"/>
      <c r="L11" s="364" t="s">
        <v>70</v>
      </c>
      <c r="M11" s="120"/>
      <c r="N11" s="121"/>
      <c r="O11" s="361" t="s">
        <v>70</v>
      </c>
      <c r="P11" s="120"/>
      <c r="Q11" s="121"/>
      <c r="R11" s="364" t="s">
        <v>70</v>
      </c>
      <c r="S11" s="368">
        <f t="shared" si="2"/>
        <v>0</v>
      </c>
      <c r="T11" s="366">
        <f>'Semana de Teste'!O11</f>
        <v>0</v>
      </c>
      <c r="U11" s="367">
        <f t="shared" si="3"/>
        <v>0</v>
      </c>
    </row>
    <row r="12">
      <c r="C12" s="371" t="s">
        <v>75</v>
      </c>
      <c r="D12" s="372">
        <v>1.0</v>
      </c>
      <c r="E12" s="373" t="str">
        <f>'Semana de Teste'!E12</f>
        <v>Remada Inclinada ( Barbell Row )</v>
      </c>
      <c r="F12" s="374">
        <f t="shared" si="1"/>
        <v>0</v>
      </c>
      <c r="G12" s="132" t="s">
        <v>132</v>
      </c>
      <c r="H12" s="375" t="str">
        <f>'Semana de Teste'!N12</f>
        <v>3 minutos </v>
      </c>
      <c r="I12" s="376" t="str">
        <f>'Semana de Teste'!L12</f>
        <v/>
      </c>
      <c r="J12" s="376" t="str">
        <f>'Semana de Teste'!M12</f>
        <v/>
      </c>
      <c r="K12" s="377"/>
      <c r="L12" s="378" t="s">
        <v>70</v>
      </c>
      <c r="M12" s="128"/>
      <c r="N12" s="129"/>
      <c r="O12" s="375" t="s">
        <v>70</v>
      </c>
      <c r="P12" s="379"/>
      <c r="Q12" s="132"/>
      <c r="R12" s="378" t="s">
        <v>70</v>
      </c>
      <c r="S12" s="365">
        <f t="shared" si="2"/>
        <v>0</v>
      </c>
      <c r="T12" s="380">
        <f>'Semana de Teste'!O12</f>
        <v>0</v>
      </c>
      <c r="U12" s="381">
        <f t="shared" si="3"/>
        <v>0</v>
      </c>
    </row>
    <row r="13">
      <c r="C13" s="104"/>
      <c r="D13" s="358">
        <v>2.0</v>
      </c>
      <c r="E13" s="359" t="str">
        <f>'Semana de Teste'!E13</f>
        <v>Puxada Frontal ( Supinação )</v>
      </c>
      <c r="F13" s="360">
        <f t="shared" si="1"/>
        <v>0</v>
      </c>
      <c r="G13" s="116" t="s">
        <v>132</v>
      </c>
      <c r="H13" s="361" t="str">
        <f>'Semana de Teste'!N13</f>
        <v>3 minutos </v>
      </c>
      <c r="I13" s="362" t="str">
        <f>'Semana de Teste'!L13</f>
        <v/>
      </c>
      <c r="J13" s="362" t="str">
        <f>'Semana de Teste'!M13</f>
        <v/>
      </c>
      <c r="K13" s="369"/>
      <c r="L13" s="364" t="s">
        <v>70</v>
      </c>
      <c r="M13" s="120"/>
      <c r="N13" s="121"/>
      <c r="O13" s="361" t="s">
        <v>70</v>
      </c>
      <c r="P13" s="120"/>
      <c r="Q13" s="121"/>
      <c r="R13" s="364" t="s">
        <v>70</v>
      </c>
      <c r="S13" s="368">
        <f t="shared" si="2"/>
        <v>0</v>
      </c>
      <c r="T13" s="366">
        <f>'Semana de Teste'!O13</f>
        <v>0</v>
      </c>
      <c r="U13" s="367">
        <f t="shared" si="3"/>
        <v>0</v>
      </c>
    </row>
    <row r="14">
      <c r="C14" s="104"/>
      <c r="D14" s="358">
        <v>3.0</v>
      </c>
      <c r="E14" s="359" t="str">
        <f>'Semana de Teste'!E14</f>
        <v>Remada Inclinada com Halter</v>
      </c>
      <c r="F14" s="360">
        <f t="shared" si="1"/>
        <v>0</v>
      </c>
      <c r="G14" s="116" t="s">
        <v>132</v>
      </c>
      <c r="H14" s="361" t="str">
        <f>'Semana de Teste'!N14</f>
        <v>3 minutos </v>
      </c>
      <c r="I14" s="362" t="str">
        <f>'Semana de Teste'!L14</f>
        <v/>
      </c>
      <c r="J14" s="362" t="str">
        <f>'Semana de Teste'!M14</f>
        <v/>
      </c>
      <c r="K14" s="369"/>
      <c r="L14" s="364" t="s">
        <v>70</v>
      </c>
      <c r="M14" s="120"/>
      <c r="N14" s="121"/>
      <c r="O14" s="361" t="s">
        <v>70</v>
      </c>
      <c r="P14" s="120"/>
      <c r="Q14" s="121"/>
      <c r="R14" s="364" t="s">
        <v>70</v>
      </c>
      <c r="S14" s="368">
        <f t="shared" si="2"/>
        <v>0</v>
      </c>
      <c r="T14" s="366">
        <f>'Semana de Teste'!O14</f>
        <v>0</v>
      </c>
      <c r="U14" s="367">
        <f t="shared" si="3"/>
        <v>0</v>
      </c>
    </row>
    <row r="15">
      <c r="C15" s="104"/>
      <c r="D15" s="358">
        <v>4.0</v>
      </c>
      <c r="E15" s="359" t="str">
        <f>'Semana de Teste'!E15</f>
        <v>Voador Inverso no banco inclinado com Halter</v>
      </c>
      <c r="F15" s="360">
        <f t="shared" si="1"/>
        <v>0</v>
      </c>
      <c r="G15" s="116" t="s">
        <v>132</v>
      </c>
      <c r="H15" s="361" t="str">
        <f>'Semana de Teste'!N15</f>
        <v>3 minutos </v>
      </c>
      <c r="I15" s="362" t="str">
        <f>'Semana de Teste'!L15</f>
        <v/>
      </c>
      <c r="J15" s="362" t="str">
        <f>'Semana de Teste'!M15</f>
        <v/>
      </c>
      <c r="K15" s="369"/>
      <c r="L15" s="364" t="s">
        <v>70</v>
      </c>
      <c r="M15" s="120"/>
      <c r="N15" s="121"/>
      <c r="O15" s="361" t="s">
        <v>70</v>
      </c>
      <c r="P15" s="120"/>
      <c r="Q15" s="121"/>
      <c r="R15" s="364" t="s">
        <v>70</v>
      </c>
      <c r="S15" s="368">
        <f t="shared" si="2"/>
        <v>0</v>
      </c>
      <c r="T15" s="366">
        <f>'Semana de Teste'!O15</f>
        <v>0</v>
      </c>
      <c r="U15" s="367">
        <f t="shared" si="3"/>
        <v>0</v>
      </c>
    </row>
    <row r="16">
      <c r="C16" s="73"/>
      <c r="D16" s="382">
        <v>5.0</v>
      </c>
      <c r="E16" s="383" t="str">
        <f>'Semana de Teste'!E16</f>
        <v>Rosca Martelo com Halter</v>
      </c>
      <c r="F16" s="384">
        <f t="shared" si="1"/>
        <v>0</v>
      </c>
      <c r="G16" s="385" t="s">
        <v>132</v>
      </c>
      <c r="H16" s="386" t="str">
        <f>'Semana de Teste'!N16</f>
        <v>3 minutos </v>
      </c>
      <c r="I16" s="387" t="str">
        <f>'Semana de Teste'!L16</f>
        <v/>
      </c>
      <c r="J16" s="387" t="str">
        <f>'Semana de Teste'!M16</f>
        <v/>
      </c>
      <c r="K16" s="388"/>
      <c r="L16" s="389" t="s">
        <v>70</v>
      </c>
      <c r="M16" s="137"/>
      <c r="N16" s="138"/>
      <c r="O16" s="386" t="s">
        <v>70</v>
      </c>
      <c r="P16" s="137"/>
      <c r="Q16" s="138"/>
      <c r="R16" s="389" t="s">
        <v>70</v>
      </c>
      <c r="S16" s="390">
        <f t="shared" si="2"/>
        <v>0</v>
      </c>
      <c r="T16" s="391">
        <f>'Semana de Teste'!O16</f>
        <v>0</v>
      </c>
      <c r="U16" s="392">
        <f t="shared" si="3"/>
        <v>0</v>
      </c>
    </row>
    <row r="17">
      <c r="C17" s="357" t="s">
        <v>82</v>
      </c>
      <c r="D17" s="358">
        <v>1.0</v>
      </c>
      <c r="E17" s="359" t="str">
        <f>'Semana de Teste'!E17</f>
        <v>Agachamento com Barra nas Costas (Back Squat)</v>
      </c>
      <c r="F17" s="360">
        <f t="shared" si="1"/>
        <v>0</v>
      </c>
      <c r="G17" s="116" t="s">
        <v>132</v>
      </c>
      <c r="H17" s="361" t="str">
        <f>'Semana de Teste'!N17</f>
        <v>3 minutos </v>
      </c>
      <c r="I17" s="362" t="str">
        <f>'Semana de Teste'!L17</f>
        <v/>
      </c>
      <c r="J17" s="362" t="str">
        <f>'Semana de Teste'!M17</f>
        <v/>
      </c>
      <c r="K17" s="369"/>
      <c r="L17" s="364" t="s">
        <v>70</v>
      </c>
      <c r="M17" s="120"/>
      <c r="N17" s="121"/>
      <c r="O17" s="361" t="s">
        <v>70</v>
      </c>
      <c r="P17" s="115"/>
      <c r="Q17" s="116"/>
      <c r="R17" s="364" t="s">
        <v>70</v>
      </c>
      <c r="S17" s="368">
        <f t="shared" si="2"/>
        <v>0</v>
      </c>
      <c r="T17" s="366">
        <f>'Semana de Teste'!O17</f>
        <v>0</v>
      </c>
      <c r="U17" s="367">
        <f t="shared" si="3"/>
        <v>0</v>
      </c>
    </row>
    <row r="18">
      <c r="C18" s="104"/>
      <c r="D18" s="358">
        <v>2.0</v>
      </c>
      <c r="E18" s="359" t="str">
        <f>'Semana de Teste'!E18</f>
        <v>Levantamento Terra ( Deadlift)</v>
      </c>
      <c r="F18" s="360">
        <f t="shared" si="1"/>
        <v>0</v>
      </c>
      <c r="G18" s="116" t="s">
        <v>132</v>
      </c>
      <c r="H18" s="361" t="str">
        <f>'Semana de Teste'!N18</f>
        <v>3 minutos </v>
      </c>
      <c r="I18" s="362" t="str">
        <f>'Semana de Teste'!L18</f>
        <v/>
      </c>
      <c r="J18" s="362" t="str">
        <f>'Semana de Teste'!M18</f>
        <v/>
      </c>
      <c r="K18" s="369"/>
      <c r="L18" s="364" t="s">
        <v>70</v>
      </c>
      <c r="M18" s="120"/>
      <c r="N18" s="121"/>
      <c r="O18" s="361" t="s">
        <v>70</v>
      </c>
      <c r="P18" s="115"/>
      <c r="Q18" s="116"/>
      <c r="R18" s="364" t="s">
        <v>70</v>
      </c>
      <c r="S18" s="368">
        <f t="shared" si="2"/>
        <v>0</v>
      </c>
      <c r="T18" s="366">
        <f>'Semana de Teste'!O18</f>
        <v>0</v>
      </c>
      <c r="U18" s="367">
        <f t="shared" si="3"/>
        <v>0</v>
      </c>
    </row>
    <row r="19">
      <c r="C19" s="104"/>
      <c r="D19" s="358">
        <v>3.0</v>
      </c>
      <c r="E19" s="359" t="str">
        <f>'Semana de Teste'!E19</f>
        <v>Afundo com Halteres</v>
      </c>
      <c r="F19" s="360">
        <f t="shared" si="1"/>
        <v>0</v>
      </c>
      <c r="G19" s="116" t="s">
        <v>132</v>
      </c>
      <c r="H19" s="361" t="str">
        <f>'Semana de Teste'!N19</f>
        <v>3 minutos </v>
      </c>
      <c r="I19" s="362" t="str">
        <f>'Semana de Teste'!L19</f>
        <v/>
      </c>
      <c r="J19" s="362" t="str">
        <f>'Semana de Teste'!M19</f>
        <v/>
      </c>
      <c r="K19" s="369"/>
      <c r="L19" s="364" t="s">
        <v>70</v>
      </c>
      <c r="M19" s="120"/>
      <c r="N19" s="121"/>
      <c r="O19" s="361" t="s">
        <v>70</v>
      </c>
      <c r="P19" s="120"/>
      <c r="Q19" s="121"/>
      <c r="R19" s="364" t="s">
        <v>70</v>
      </c>
      <c r="S19" s="368">
        <f t="shared" si="2"/>
        <v>0</v>
      </c>
      <c r="T19" s="366">
        <f>'Semana de Teste'!O19</f>
        <v>0</v>
      </c>
      <c r="U19" s="367">
        <f t="shared" si="3"/>
        <v>0</v>
      </c>
    </row>
    <row r="20">
      <c r="C20" s="370"/>
      <c r="D20" s="382">
        <v>4.0</v>
      </c>
      <c r="E20" s="383" t="str">
        <f>'Semana de Teste'!E20</f>
        <v>Stiff com Halter</v>
      </c>
      <c r="F20" s="384">
        <f t="shared" si="1"/>
        <v>0</v>
      </c>
      <c r="G20" s="385" t="s">
        <v>132</v>
      </c>
      <c r="H20" s="386" t="str">
        <f>'Semana de Teste'!N20</f>
        <v>3 minutos </v>
      </c>
      <c r="I20" s="387" t="str">
        <f>'Semana de Teste'!L20</f>
        <v/>
      </c>
      <c r="J20" s="387" t="str">
        <f>'Semana de Teste'!M20</f>
        <v/>
      </c>
      <c r="K20" s="388"/>
      <c r="L20" s="389" t="s">
        <v>70</v>
      </c>
      <c r="M20" s="137"/>
      <c r="N20" s="138"/>
      <c r="O20" s="386" t="s">
        <v>70</v>
      </c>
      <c r="P20" s="137"/>
      <c r="Q20" s="138"/>
      <c r="R20" s="389" t="s">
        <v>70</v>
      </c>
      <c r="S20" s="390">
        <f t="shared" si="2"/>
        <v>0</v>
      </c>
      <c r="T20" s="391">
        <f>'Semana de Teste'!O20</f>
        <v>0</v>
      </c>
      <c r="U20" s="392">
        <f t="shared" si="3"/>
        <v>0</v>
      </c>
    </row>
    <row r="21" ht="12.75" customHeight="1"/>
    <row r="22" ht="12.75" customHeight="1"/>
    <row r="23" ht="12.75" customHeight="1">
      <c r="B23" s="393" t="s">
        <v>133</v>
      </c>
      <c r="C23" s="394" t="s">
        <v>10</v>
      </c>
      <c r="D23" s="394" t="s">
        <v>134</v>
      </c>
      <c r="E23" s="394" t="s">
        <v>135</v>
      </c>
      <c r="F23" s="394" t="s">
        <v>136</v>
      </c>
      <c r="G23" s="394" t="s">
        <v>137</v>
      </c>
      <c r="H23" s="395"/>
      <c r="I23" s="395"/>
    </row>
    <row r="24" ht="12.75" customHeight="1">
      <c r="B24" s="396" t="s">
        <v>138</v>
      </c>
      <c r="C24" s="397">
        <f>Dashboard!D19</f>
        <v>46041</v>
      </c>
      <c r="D24" s="398">
        <f>'Semana de Teste'!D23</f>
        <v>2600</v>
      </c>
      <c r="E24" s="399">
        <f>'Semana de Teste'!D24</f>
        <v>46.67928731</v>
      </c>
      <c r="F24" s="400">
        <f>'Semana de Teste'!D25</f>
        <v>13</v>
      </c>
      <c r="G24" s="401">
        <f>(F25-F24)/F24</f>
        <v>-1</v>
      </c>
      <c r="H24" s="395"/>
      <c r="I24" s="395"/>
    </row>
    <row r="25" ht="12.75" customHeight="1">
      <c r="B25" s="402" t="s">
        <v>139</v>
      </c>
      <c r="C25" s="403" t="str">
        <f>Dashboard!E19</f>
        <v/>
      </c>
      <c r="D25" s="404"/>
      <c r="E25" s="399">
        <f>((D25-504.1)/44.9)</f>
        <v>-11.22717149</v>
      </c>
      <c r="F25" s="400">
        <f>((D25/ 12)*0.06)</f>
        <v>0</v>
      </c>
      <c r="G25" s="271"/>
      <c r="H25" s="395"/>
      <c r="I25" s="395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5">
    <mergeCell ref="P5:R5"/>
    <mergeCell ref="S5:S6"/>
    <mergeCell ref="T5:T6"/>
    <mergeCell ref="U5:U6"/>
    <mergeCell ref="C7:C11"/>
    <mergeCell ref="C12:C16"/>
    <mergeCell ref="C17:C20"/>
    <mergeCell ref="G24:G25"/>
    <mergeCell ref="C2:U4"/>
    <mergeCell ref="C5:C6"/>
    <mergeCell ref="D5:D6"/>
    <mergeCell ref="E5:E6"/>
    <mergeCell ref="F5:H5"/>
    <mergeCell ref="I5:L5"/>
    <mergeCell ref="M5:O5"/>
  </mergeCells>
  <conditionalFormatting sqref="U7:U20">
    <cfRule type="cellIs" dxfId="7" priority="1" operator="greaterThan">
      <formula>0</formula>
    </cfRule>
  </conditionalFormatting>
  <conditionalFormatting sqref="U7:U20">
    <cfRule type="cellIs" dxfId="9" priority="2" operator="lessThan">
      <formula>0</formula>
    </cfRule>
  </conditionalFormatting>
  <conditionalFormatting sqref="G24:G25">
    <cfRule type="cellIs" dxfId="7" priority="3" operator="greaterThan">
      <formula>0</formula>
    </cfRule>
  </conditionalFormatting>
  <conditionalFormatting sqref="G24:G25">
    <cfRule type="cellIs" dxfId="9" priority="4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7.71"/>
    <col customWidth="1" min="3" max="3" width="18.43"/>
    <col customWidth="1" min="7" max="7" width="23.14"/>
    <col customWidth="1" min="8" max="8" width="22.14"/>
  </cols>
  <sheetData>
    <row r="2">
      <c r="A2" s="405" t="s">
        <v>140</v>
      </c>
      <c r="B2" s="62"/>
      <c r="C2" s="406" t="s">
        <v>141</v>
      </c>
      <c r="D2" s="102"/>
    </row>
    <row r="3">
      <c r="A3" s="407" t="s">
        <v>142</v>
      </c>
      <c r="B3" s="408">
        <f>Dashboard!D22</f>
        <v>80</v>
      </c>
      <c r="C3" s="74"/>
      <c r="D3" s="107"/>
      <c r="G3" s="409" t="s">
        <v>143</v>
      </c>
    </row>
    <row r="4" ht="21.75" customHeight="1">
      <c r="G4" s="410" t="s">
        <v>144</v>
      </c>
      <c r="H4" s="410" t="s">
        <v>145</v>
      </c>
      <c r="I4" s="410" t="s">
        <v>146</v>
      </c>
      <c r="J4" s="410" t="s">
        <v>147</v>
      </c>
    </row>
    <row r="5">
      <c r="A5" s="411" t="s">
        <v>148</v>
      </c>
      <c r="B5" s="102"/>
      <c r="G5" s="412" t="s">
        <v>149</v>
      </c>
      <c r="H5" s="413" t="str">
        <f>IFERROR(VLOOKUP(G5,'Tabela Nutri'!$G$3:$I$19,2, FALSE), "")</f>
        <v>Unidade</v>
      </c>
      <c r="I5" s="414">
        <v>3.0</v>
      </c>
      <c r="J5" s="415">
        <f>IFERROR(VLOOKUP(G5,'Tabela Nutri'!$G$3:$I$19,3, FALSE)*I5, "0")</f>
        <v>87</v>
      </c>
    </row>
    <row r="6">
      <c r="A6" s="416" t="s">
        <v>142</v>
      </c>
      <c r="B6" s="417">
        <f>IF(Dashboard!D22&gt;Dashboard!J21,Dashboard!D22*0.8,Dashboard!D22)</f>
        <v>64</v>
      </c>
      <c r="G6" s="412" t="s">
        <v>150</v>
      </c>
      <c r="H6" s="413" t="str">
        <f>IFERROR(VLOOKUP(G6,'Tabela Nutri'!$G$3:$I$19,2, FALSE), "")</f>
        <v>Unidade (75g)</v>
      </c>
      <c r="I6" s="414">
        <v>1.0</v>
      </c>
      <c r="J6" s="415">
        <f>IFERROR(VLOOKUP(G6,'Tabela Nutri'!$G$3:$I$19,3, FALSE)*I6, "0")</f>
        <v>16.5</v>
      </c>
    </row>
    <row r="7">
      <c r="A7" s="418" t="s">
        <v>151</v>
      </c>
      <c r="B7" s="419">
        <f>B6/4</f>
        <v>16</v>
      </c>
      <c r="G7" s="412" t="s">
        <v>152</v>
      </c>
      <c r="H7" s="413" t="str">
        <f>IFERROR(VLOOKUP(G7,'Tabela Nutri'!$G$3:$I$19,2, FALSE), "")</f>
        <v>Colher de Sopa (15g)</v>
      </c>
      <c r="I7" s="414">
        <v>1.0</v>
      </c>
      <c r="J7" s="415">
        <f>IFERROR(VLOOKUP(G7,'Tabela Nutri'!$G$3:$I$19,3, FALSE)*I7, "0")</f>
        <v>12</v>
      </c>
    </row>
    <row r="8">
      <c r="A8" s="420"/>
      <c r="G8" s="412"/>
      <c r="H8" s="413" t="str">
        <f>IFERROR(VLOOKUP(G8,'Tabela Nutri'!$G$3:$I$19,2, FALSE), "")</f>
        <v/>
      </c>
      <c r="I8" s="421"/>
      <c r="J8" s="415" t="str">
        <f>IFERROR(VLOOKUP(G8,'Tabela Nutri'!$G$3:$I$19,3, FALSE)*I8, "0")</f>
        <v>0</v>
      </c>
    </row>
    <row r="9">
      <c r="G9" s="412"/>
      <c r="H9" s="413" t="str">
        <f>IFERROR(VLOOKUP(G9,'Tabela Nutri'!$G$3:$I$19,2, FALSE), "")</f>
        <v/>
      </c>
      <c r="I9" s="421"/>
      <c r="J9" s="415" t="str">
        <f>IFERROR(VLOOKUP(G9,'Tabela Nutri'!$G$3:$I$19,3, FALSE)*I9, "0")</f>
        <v>0</v>
      </c>
    </row>
    <row r="10">
      <c r="G10" s="410" t="s">
        <v>153</v>
      </c>
      <c r="I10" s="395" t="str">
        <f>IF(SUM(J5:J9) &gt; B3*1.1, "Ultrapassou a Necessidade", IF(SUM(J5:J9) &lt; B3*0.9, "Abaixo das Necessidades", "OK"))
</f>
        <v>Ultrapassou a Necessidade</v>
      </c>
    </row>
    <row r="11">
      <c r="A11" s="422" t="s">
        <v>154</v>
      </c>
    </row>
    <row r="12">
      <c r="A12" s="153" t="str">
        <f>"A cada 3-4 horas voce deve consumir "&amp;ROUND(Dashboard!D22*0.3,0)&amp;"g de proteína"</f>
        <v>A cada 3-4 horas voce deve consumir 24g de proteína</v>
      </c>
    </row>
    <row r="13">
      <c r="G13" s="409" t="s">
        <v>155</v>
      </c>
    </row>
    <row r="14" ht="22.5" customHeight="1">
      <c r="A14" s="423" t="s">
        <v>156</v>
      </c>
      <c r="G14" s="410" t="s">
        <v>144</v>
      </c>
      <c r="H14" s="410" t="s">
        <v>145</v>
      </c>
      <c r="I14" s="410" t="s">
        <v>146</v>
      </c>
      <c r="J14" s="410" t="s">
        <v>147</v>
      </c>
    </row>
    <row r="15">
      <c r="A15" s="424" t="s">
        <v>157</v>
      </c>
      <c r="G15" s="412" t="s">
        <v>158</v>
      </c>
      <c r="H15" s="413" t="str">
        <f>IFERROR(VLOOKUP(G15,'Tabela Nutri'!$G$3:$I$19,2, FALSE), "")</f>
        <v>Porção de 100g</v>
      </c>
      <c r="I15" s="425">
        <v>1.0</v>
      </c>
      <c r="J15" s="415">
        <f>IFERROR(VLOOKUP(G15,'Tabela Nutri'!$G$3:$I$19,3, FALSE)*I15, "0")</f>
        <v>25</v>
      </c>
    </row>
    <row r="16">
      <c r="G16" s="412" t="s">
        <v>159</v>
      </c>
      <c r="H16" s="413" t="str">
        <f>IFERROR(VLOOKUP(G16,'Tabela Nutri'!$G$3:$I$19,2, FALSE), "")</f>
        <v>Unidade</v>
      </c>
      <c r="I16" s="425">
        <v>2.0</v>
      </c>
      <c r="J16" s="415">
        <f>IFERROR(VLOOKUP(G16,'Tabela Nutri'!$G$3:$I$19,3, FALSE)*I16, "0")</f>
        <v>40</v>
      </c>
    </row>
    <row r="17">
      <c r="G17" s="412" t="s">
        <v>149</v>
      </c>
      <c r="H17" s="413" t="str">
        <f>IFERROR(VLOOKUP(G17,'Tabela Nutri'!$G$3:$I$19,2, FALSE), "")</f>
        <v>Unidade</v>
      </c>
      <c r="I17" s="425">
        <v>0.0</v>
      </c>
      <c r="J17" s="415">
        <f>IFERROR(VLOOKUP(G17,'Tabela Nutri'!$G$3:$I$19,3, FALSE)*I17, "0")</f>
        <v>0</v>
      </c>
    </row>
    <row r="18">
      <c r="G18" s="412"/>
      <c r="H18" s="413" t="str">
        <f>IFERROR(VLOOKUP(G18,'Tabela Nutri'!$G$3:$I$19,2, FALSE), "")</f>
        <v/>
      </c>
      <c r="I18" s="425"/>
      <c r="J18" s="415" t="str">
        <f>IFERROR(VLOOKUP(G18,'Tabela Nutri'!$G$3:$I$19,3, FALSE)*I18, "0")</f>
        <v>0</v>
      </c>
    </row>
    <row r="19">
      <c r="G19" s="412"/>
      <c r="H19" s="413" t="str">
        <f>IFERROR(VLOOKUP(G19,'Tabela Nutri'!$G$3:$I$19,2, FALSE), "")</f>
        <v/>
      </c>
      <c r="I19" s="425"/>
      <c r="J19" s="415" t="str">
        <f>IFERROR(VLOOKUP(G19,'Tabela Nutri'!$G$3:$I$19,3, FALSE)*I19, "0")</f>
        <v>0</v>
      </c>
    </row>
    <row r="20">
      <c r="G20" s="426" t="s">
        <v>160</v>
      </c>
      <c r="H20" s="427">
        <v>1.0</v>
      </c>
      <c r="I20" s="428"/>
      <c r="J20" s="428">
        <f>(B7*30)/22</f>
        <v>21.81818182</v>
      </c>
    </row>
    <row r="21">
      <c r="G21" s="410" t="s">
        <v>153</v>
      </c>
      <c r="I21" s="395" t="str">
        <f>IF(SUM(J15:J19) &gt; B6*1.1, "Ultrapassou a Necessidade", IF(SUM(J15:J19) &lt; B6*0.9, "Abaixo das Necessidades", "OK"))
</f>
        <v>OK</v>
      </c>
    </row>
  </sheetData>
  <mergeCells count="13">
    <mergeCell ref="I10:J11"/>
    <mergeCell ref="G13:J13"/>
    <mergeCell ref="G21:H22"/>
    <mergeCell ref="I21:J22"/>
    <mergeCell ref="A14:C14"/>
    <mergeCell ref="A15:C18"/>
    <mergeCell ref="A2:B2"/>
    <mergeCell ref="C2:D3"/>
    <mergeCell ref="G3:J3"/>
    <mergeCell ref="A5:B5"/>
    <mergeCell ref="G10:H11"/>
    <mergeCell ref="A11:C11"/>
    <mergeCell ref="A12:C12"/>
  </mergeCells>
  <conditionalFormatting sqref="I10:J11 I21:J22">
    <cfRule type="containsText" dxfId="7" priority="1" operator="containsText" text="ok">
      <formula>NOT(ISERROR(SEARCH(("ok"),(I10))))</formula>
    </cfRule>
  </conditionalFormatting>
  <conditionalFormatting sqref="I10:J11 I21:J22">
    <cfRule type="notContainsText" dxfId="9" priority="2" operator="notContains" text="OK">
      <formula>ISERROR(SEARCH(("OK"),(I10)))</formula>
    </cfRule>
  </conditionalFormatting>
  <dataValidations>
    <dataValidation type="list" allowBlank="1" showErrorMessage="1" sqref="G5:G9 G15:G19">
      <formula1>'Tabela Nutri'!$A$3:$A$18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3" width="8.71"/>
    <col customWidth="1" min="4" max="4" width="14.57"/>
    <col customWidth="1" min="5" max="11" width="8.71"/>
    <col customWidth="1" min="12" max="12" width="12.57"/>
    <col customWidth="1" min="13" max="21" width="8.71"/>
    <col customWidth="1" min="22" max="22" width="27.29"/>
    <col customWidth="1" min="23" max="23" width="6.86"/>
    <col customWidth="1" min="24" max="24" width="43.0"/>
    <col customWidth="1" min="25" max="25" width="39.86"/>
    <col customWidth="1" min="26" max="26" width="32.0"/>
    <col customWidth="1" min="27" max="27" width="31.86"/>
    <col customWidth="1" min="28" max="28" width="11.29"/>
  </cols>
  <sheetData>
    <row r="1" ht="12.75" customHeight="1"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429"/>
      <c r="W1" s="429"/>
      <c r="X1" s="429"/>
      <c r="Y1" s="429"/>
      <c r="Z1" s="429"/>
      <c r="AA1" s="429"/>
      <c r="AB1" s="159"/>
    </row>
    <row r="2" ht="12.75" customHeight="1"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429"/>
      <c r="W2" s="429"/>
      <c r="X2" s="429"/>
      <c r="Y2" s="429"/>
      <c r="Z2" s="429"/>
      <c r="AA2" s="429"/>
      <c r="AB2" s="159"/>
    </row>
    <row r="3" ht="12.75" customHeight="1"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429"/>
      <c r="W3" s="429"/>
      <c r="X3" s="429"/>
      <c r="Y3" s="429"/>
      <c r="Z3" s="429"/>
      <c r="AA3" s="429"/>
      <c r="AB3" s="159"/>
    </row>
    <row r="4" ht="12.75" customHeight="1"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429"/>
      <c r="W4" s="429"/>
      <c r="X4" s="429"/>
      <c r="Y4" s="429"/>
      <c r="Z4" s="429"/>
      <c r="AA4" s="429"/>
      <c r="AB4" s="159"/>
    </row>
    <row r="5" ht="12.75" customHeight="1"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429"/>
      <c r="W5" s="429"/>
      <c r="X5" s="429"/>
      <c r="Y5" s="429"/>
      <c r="Z5" s="429"/>
      <c r="AA5" s="429"/>
      <c r="AB5" s="159"/>
    </row>
    <row r="6" ht="12.75" customHeight="1"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9"/>
    </row>
    <row r="7" ht="12.75" customHeight="1"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9"/>
    </row>
    <row r="8" ht="12.75" customHeight="1"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9"/>
    </row>
    <row r="9" ht="12.75" customHeight="1"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9"/>
    </row>
    <row r="10" ht="12.75" customHeight="1"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9"/>
    </row>
    <row r="11" ht="12.75" customHeight="1"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9"/>
    </row>
    <row r="12" ht="12.75" customHeight="1"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9"/>
    </row>
    <row r="13" ht="12.75" customHeight="1"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9"/>
    </row>
    <row r="14" ht="12.75" customHeight="1"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9"/>
    </row>
    <row r="15" ht="12.75" customHeight="1"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9"/>
    </row>
    <row r="16" ht="12.75" customHeight="1"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9"/>
    </row>
    <row r="17" ht="12.75" customHeight="1"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9"/>
    </row>
    <row r="18" ht="12.75" customHeight="1"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9"/>
    </row>
    <row r="19" ht="12.75" customHeight="1"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9"/>
    </row>
    <row r="20" ht="12.75" customHeight="1"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9"/>
    </row>
    <row r="21" ht="12.75" customHeight="1"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9"/>
    </row>
    <row r="22" ht="12.75" customHeight="1"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9"/>
    </row>
    <row r="23" ht="12.75" customHeight="1"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430" t="s">
        <v>161</v>
      </c>
      <c r="AA23" s="153"/>
      <c r="AB23" s="159"/>
    </row>
    <row r="24" ht="12.75" customHeight="1"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AA24" s="153"/>
      <c r="AB24" s="159"/>
    </row>
    <row r="25" ht="12.75" customHeight="1"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AA25" s="153"/>
      <c r="AB25" s="159"/>
    </row>
    <row r="26" ht="12.75" customHeight="1"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431" t="s">
        <v>162</v>
      </c>
      <c r="W26" s="431">
        <v>1.0</v>
      </c>
      <c r="X26" s="432" t="s">
        <v>76</v>
      </c>
      <c r="Y26" s="153"/>
      <c r="Z26" s="153"/>
      <c r="AA26" s="153"/>
    </row>
    <row r="27" ht="12.75" customHeight="1"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W27" s="431">
        <v>2.0</v>
      </c>
      <c r="X27" s="432" t="s">
        <v>163</v>
      </c>
      <c r="Y27" s="433" t="s">
        <v>77</v>
      </c>
      <c r="Z27" s="433" t="s">
        <v>164</v>
      </c>
      <c r="AA27" s="434"/>
    </row>
    <row r="28" ht="12.75" customHeight="1"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W28" s="431">
        <v>3.0</v>
      </c>
      <c r="X28" s="432" t="s">
        <v>78</v>
      </c>
      <c r="Y28" s="432" t="s">
        <v>165</v>
      </c>
      <c r="Z28" s="432" t="s">
        <v>166</v>
      </c>
      <c r="AA28" s="153"/>
    </row>
    <row r="29" ht="12.75" customHeight="1"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W29" s="431">
        <v>4.0</v>
      </c>
      <c r="X29" s="432" t="s">
        <v>79</v>
      </c>
      <c r="Y29" s="432" t="s">
        <v>167</v>
      </c>
      <c r="Z29" s="432" t="s">
        <v>168</v>
      </c>
      <c r="AA29" s="153"/>
    </row>
    <row r="30" ht="12.75" customHeight="1"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W30" s="431">
        <v>5.0</v>
      </c>
      <c r="X30" s="432" t="s">
        <v>80</v>
      </c>
      <c r="Y30" s="432" t="s">
        <v>169</v>
      </c>
      <c r="Z30" s="432" t="s">
        <v>170</v>
      </c>
      <c r="AA30" s="153"/>
    </row>
    <row r="31" ht="12.75" customHeight="1"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435"/>
      <c r="Y31" s="435"/>
      <c r="Z31" s="435"/>
      <c r="AA31" s="153"/>
    </row>
    <row r="32" ht="12.75" customHeight="1"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431" t="s">
        <v>171</v>
      </c>
      <c r="W32" s="431">
        <v>1.0</v>
      </c>
      <c r="X32" s="432" t="s">
        <v>69</v>
      </c>
      <c r="Y32" s="435"/>
      <c r="Z32" s="435"/>
      <c r="AA32" s="436"/>
    </row>
    <row r="33" ht="12.75" customHeight="1"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W33" s="431">
        <v>2.0</v>
      </c>
      <c r="X33" s="432" t="s">
        <v>172</v>
      </c>
      <c r="Y33" s="432" t="s">
        <v>71</v>
      </c>
      <c r="Z33" s="432" t="s">
        <v>173</v>
      </c>
      <c r="AA33" s="435"/>
    </row>
    <row r="34" ht="12.75" customHeight="1"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W34" s="431">
        <v>3.0</v>
      </c>
      <c r="X34" s="432" t="s">
        <v>72</v>
      </c>
      <c r="Y34" s="432" t="s">
        <v>174</v>
      </c>
      <c r="Z34" s="432" t="s">
        <v>175</v>
      </c>
      <c r="AA34" s="435"/>
    </row>
    <row r="35" ht="12.75" customHeight="1"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W35" s="431">
        <v>4.0</v>
      </c>
      <c r="X35" s="432" t="s">
        <v>176</v>
      </c>
      <c r="Y35" s="432" t="s">
        <v>177</v>
      </c>
      <c r="Z35" s="432" t="s">
        <v>73</v>
      </c>
      <c r="AA35" s="435"/>
    </row>
    <row r="36" ht="12.75" customHeight="1"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W36" s="431">
        <v>5.0</v>
      </c>
      <c r="X36" s="432" t="s">
        <v>74</v>
      </c>
      <c r="Y36" s="432" t="s">
        <v>178</v>
      </c>
      <c r="Z36" s="432" t="s">
        <v>179</v>
      </c>
      <c r="AA36" s="436"/>
    </row>
    <row r="37" ht="12.75" customHeight="1"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435"/>
      <c r="Y37" s="435"/>
      <c r="Z37" s="153"/>
      <c r="AA37" s="153"/>
    </row>
    <row r="38" ht="12.75" customHeight="1"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431" t="s">
        <v>41</v>
      </c>
      <c r="W38" s="431">
        <v>1.0</v>
      </c>
      <c r="X38" s="432" t="s">
        <v>83</v>
      </c>
      <c r="Y38" s="435"/>
      <c r="Z38" s="435"/>
      <c r="AA38" s="436"/>
    </row>
    <row r="39" ht="12.75" customHeight="1"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W39" s="431">
        <v>2.0</v>
      </c>
      <c r="X39" s="432" t="s">
        <v>84</v>
      </c>
      <c r="Y39" s="435"/>
      <c r="Z39" s="435"/>
      <c r="AA39" s="436"/>
    </row>
    <row r="40" ht="12.75" customHeight="1"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W40" s="431">
        <v>3.0</v>
      </c>
      <c r="X40" s="432" t="s">
        <v>180</v>
      </c>
      <c r="Y40" s="432" t="s">
        <v>85</v>
      </c>
      <c r="Z40" s="432" t="s">
        <v>181</v>
      </c>
      <c r="AA40" s="436"/>
    </row>
    <row r="41" ht="12.75" customHeight="1"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W41" s="431">
        <v>4.0</v>
      </c>
      <c r="X41" s="432" t="s">
        <v>86</v>
      </c>
      <c r="Y41" s="432" t="s">
        <v>182</v>
      </c>
      <c r="Z41" s="432" t="s">
        <v>183</v>
      </c>
      <c r="AA41" s="153"/>
    </row>
    <row r="42" ht="12.75" customHeight="1"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435"/>
      <c r="Y42" s="435"/>
      <c r="Z42" s="153"/>
      <c r="AA42" s="153"/>
    </row>
    <row r="43" ht="12.75" customHeight="1"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ht="12.75" customHeight="1"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ht="12.75" customHeight="1"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ht="12.75" customHeight="1"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434">
        <v>1.0</v>
      </c>
      <c r="X46" s="432" t="s">
        <v>76</v>
      </c>
      <c r="Y46" s="153"/>
      <c r="Z46" s="153"/>
      <c r="AA46" s="153"/>
    </row>
    <row r="47" ht="12.75" customHeight="1"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434">
        <v>2.0</v>
      </c>
      <c r="X47" s="432" t="s">
        <v>163</v>
      </c>
      <c r="Y47" s="153"/>
      <c r="Z47" s="153"/>
      <c r="AA47" s="153"/>
    </row>
    <row r="48" ht="12.75" customHeight="1"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434">
        <v>3.0</v>
      </c>
      <c r="X48" s="433" t="s">
        <v>77</v>
      </c>
      <c r="Y48" s="153"/>
      <c r="Z48" s="153"/>
      <c r="AA48" s="153"/>
    </row>
    <row r="49" ht="12.75" customHeight="1"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434">
        <v>4.0</v>
      </c>
      <c r="X49" s="433" t="s">
        <v>164</v>
      </c>
      <c r="Y49" s="153"/>
      <c r="Z49" s="153"/>
      <c r="AA49" s="153"/>
    </row>
    <row r="50" ht="12.75" customHeight="1"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434">
        <v>5.0</v>
      </c>
      <c r="X50" s="432" t="s">
        <v>78</v>
      </c>
      <c r="Y50" s="153"/>
      <c r="Z50" s="153"/>
      <c r="AA50" s="153"/>
    </row>
    <row r="51" ht="12.75" customHeight="1"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434">
        <v>6.0</v>
      </c>
      <c r="X51" s="432" t="s">
        <v>165</v>
      </c>
      <c r="Y51" s="153"/>
      <c r="Z51" s="153"/>
      <c r="AA51" s="153"/>
    </row>
    <row r="52" ht="12.75" customHeight="1"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434">
        <v>7.0</v>
      </c>
      <c r="X52" s="432" t="s">
        <v>166</v>
      </c>
      <c r="Y52" s="153"/>
      <c r="Z52" s="153"/>
      <c r="AA52" s="153"/>
    </row>
    <row r="53" ht="12.75" customHeight="1"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434">
        <v>8.0</v>
      </c>
      <c r="X53" s="432" t="s">
        <v>79</v>
      </c>
      <c r="Y53" s="153"/>
      <c r="Z53" s="153"/>
      <c r="AA53" s="153"/>
    </row>
    <row r="54" ht="12.75" customHeight="1"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434">
        <v>9.0</v>
      </c>
      <c r="X54" s="432" t="s">
        <v>167</v>
      </c>
      <c r="Y54" s="153"/>
      <c r="Z54" s="153"/>
      <c r="AA54" s="153"/>
    </row>
    <row r="55" ht="12.75" customHeight="1"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W55" s="434">
        <v>10.0</v>
      </c>
      <c r="X55" s="432" t="s">
        <v>168</v>
      </c>
    </row>
    <row r="56" ht="12.75" customHeight="1"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W56" s="434">
        <v>11.0</v>
      </c>
      <c r="X56" s="432" t="s">
        <v>80</v>
      </c>
    </row>
    <row r="57" ht="12.75" customHeight="1"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W57" s="434">
        <v>12.0</v>
      </c>
      <c r="X57" s="432" t="s">
        <v>169</v>
      </c>
    </row>
    <row r="58" ht="12.75" customHeight="1"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W58" s="434">
        <v>13.0</v>
      </c>
      <c r="X58" s="432" t="s">
        <v>170</v>
      </c>
    </row>
    <row r="59" ht="12.75" customHeight="1"/>
    <row r="60" ht="12.75" customHeight="1">
      <c r="W60" s="424">
        <v>14.0</v>
      </c>
      <c r="X60" s="432" t="s">
        <v>184</v>
      </c>
    </row>
    <row r="61" ht="12.75" customHeight="1">
      <c r="W61" s="424">
        <v>15.0</v>
      </c>
      <c r="X61" s="432" t="s">
        <v>172</v>
      </c>
    </row>
    <row r="62" ht="12.75" customHeight="1">
      <c r="W62" s="424">
        <v>16.0</v>
      </c>
      <c r="X62" s="432" t="s">
        <v>71</v>
      </c>
    </row>
    <row r="63" ht="12.75" customHeight="1">
      <c r="W63" s="424">
        <v>17.0</v>
      </c>
      <c r="X63" s="432" t="s">
        <v>173</v>
      </c>
    </row>
    <row r="64" ht="12.75" customHeight="1">
      <c r="W64" s="424">
        <v>18.0</v>
      </c>
      <c r="X64" s="432" t="s">
        <v>72</v>
      </c>
    </row>
    <row r="65" ht="12.75" customHeight="1">
      <c r="W65" s="424">
        <v>19.0</v>
      </c>
      <c r="X65" s="432" t="s">
        <v>174</v>
      </c>
    </row>
    <row r="66" ht="12.75" customHeight="1">
      <c r="W66" s="424">
        <v>20.0</v>
      </c>
      <c r="X66" s="432" t="s">
        <v>175</v>
      </c>
    </row>
    <row r="67" ht="12.75" customHeight="1">
      <c r="W67" s="424">
        <v>21.0</v>
      </c>
      <c r="X67" s="432" t="s">
        <v>176</v>
      </c>
    </row>
    <row r="68" ht="12.75" customHeight="1">
      <c r="W68" s="424">
        <v>22.0</v>
      </c>
      <c r="X68" s="432" t="s">
        <v>177</v>
      </c>
    </row>
    <row r="69" ht="12.75" customHeight="1">
      <c r="W69" s="424">
        <v>23.0</v>
      </c>
      <c r="X69" s="432" t="s">
        <v>73</v>
      </c>
    </row>
    <row r="70" ht="12.75" customHeight="1">
      <c r="W70" s="424">
        <v>24.0</v>
      </c>
      <c r="X70" s="432" t="s">
        <v>74</v>
      </c>
    </row>
    <row r="71" ht="12.75" customHeight="1">
      <c r="W71" s="424">
        <v>25.0</v>
      </c>
      <c r="X71" s="432" t="s">
        <v>178</v>
      </c>
    </row>
    <row r="72" ht="12.75" customHeight="1">
      <c r="W72" s="424">
        <v>26.0</v>
      </c>
      <c r="X72" s="432" t="s">
        <v>179</v>
      </c>
    </row>
    <row r="73" ht="12.75" customHeight="1"/>
    <row r="74" ht="12.75" customHeight="1">
      <c r="W74" s="424">
        <v>27.0</v>
      </c>
      <c r="X74" s="432" t="s">
        <v>185</v>
      </c>
    </row>
    <row r="75" ht="12.75" customHeight="1">
      <c r="W75" s="424">
        <v>28.0</v>
      </c>
      <c r="X75" s="432" t="s">
        <v>186</v>
      </c>
    </row>
    <row r="76" ht="12.75" customHeight="1">
      <c r="W76" s="424">
        <v>29.0</v>
      </c>
      <c r="X76" s="432" t="s">
        <v>180</v>
      </c>
    </row>
    <row r="77" ht="12.75" customHeight="1">
      <c r="W77" s="424">
        <v>30.0</v>
      </c>
      <c r="X77" s="432" t="s">
        <v>85</v>
      </c>
    </row>
    <row r="78" ht="12.75" customHeight="1">
      <c r="W78" s="424">
        <v>31.0</v>
      </c>
      <c r="X78" s="432" t="s">
        <v>181</v>
      </c>
    </row>
    <row r="79" ht="12.75" customHeight="1">
      <c r="W79" s="424">
        <v>32.0</v>
      </c>
      <c r="X79" s="432" t="s">
        <v>86</v>
      </c>
    </row>
    <row r="80" ht="12.75" customHeight="1">
      <c r="W80" s="424">
        <v>33.0</v>
      </c>
      <c r="X80" s="432" t="s">
        <v>182</v>
      </c>
    </row>
    <row r="81" ht="12.75" customHeight="1">
      <c r="W81" s="424">
        <v>34.0</v>
      </c>
      <c r="X81" s="432" t="s">
        <v>183</v>
      </c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4">
    <mergeCell ref="V23:Z25"/>
    <mergeCell ref="V26:V30"/>
    <mergeCell ref="V32:V36"/>
    <mergeCell ref="V38:V41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8.86"/>
  </cols>
  <sheetData>
    <row r="1">
      <c r="A1" s="434">
        <v>1.0</v>
      </c>
      <c r="B1" s="437" t="s">
        <v>76</v>
      </c>
    </row>
    <row r="2">
      <c r="A2" s="434">
        <v>2.0</v>
      </c>
      <c r="B2" s="437" t="s">
        <v>163</v>
      </c>
    </row>
    <row r="3">
      <c r="A3" s="434">
        <v>3.0</v>
      </c>
      <c r="B3" s="437" t="s">
        <v>77</v>
      </c>
    </row>
    <row r="4">
      <c r="A4" s="434">
        <v>4.0</v>
      </c>
      <c r="B4" s="437" t="s">
        <v>164</v>
      </c>
    </row>
    <row r="5">
      <c r="A5" s="434">
        <v>5.0</v>
      </c>
      <c r="B5" s="437" t="s">
        <v>78</v>
      </c>
    </row>
    <row r="6">
      <c r="A6" s="434">
        <v>6.0</v>
      </c>
      <c r="B6" s="437" t="s">
        <v>165</v>
      </c>
    </row>
    <row r="7">
      <c r="A7" s="434">
        <v>7.0</v>
      </c>
      <c r="B7" s="437" t="s">
        <v>166</v>
      </c>
    </row>
    <row r="8">
      <c r="A8" s="434">
        <v>8.0</v>
      </c>
      <c r="B8" s="437" t="s">
        <v>79</v>
      </c>
    </row>
    <row r="9">
      <c r="A9" s="434">
        <v>9.0</v>
      </c>
      <c r="B9" s="437" t="s">
        <v>167</v>
      </c>
    </row>
    <row r="10">
      <c r="A10" s="434">
        <v>10.0</v>
      </c>
      <c r="B10" s="437" t="s">
        <v>168</v>
      </c>
    </row>
    <row r="11">
      <c r="A11" s="434">
        <v>11.0</v>
      </c>
      <c r="B11" s="437" t="s">
        <v>80</v>
      </c>
    </row>
    <row r="12">
      <c r="A12" s="434">
        <v>12.0</v>
      </c>
      <c r="B12" s="437" t="s">
        <v>169</v>
      </c>
    </row>
    <row r="13">
      <c r="A13" s="434">
        <v>13.0</v>
      </c>
      <c r="B13" s="437" t="s">
        <v>170</v>
      </c>
    </row>
    <row r="15">
      <c r="A15" s="424">
        <v>14.0</v>
      </c>
      <c r="B15" s="437" t="s">
        <v>184</v>
      </c>
    </row>
    <row r="16">
      <c r="A16" s="424">
        <v>15.0</v>
      </c>
      <c r="B16" s="437" t="s">
        <v>172</v>
      </c>
    </row>
    <row r="17">
      <c r="A17" s="424">
        <v>16.0</v>
      </c>
      <c r="B17" s="437" t="s">
        <v>71</v>
      </c>
    </row>
    <row r="18">
      <c r="A18" s="424">
        <v>17.0</v>
      </c>
      <c r="B18" s="437" t="s">
        <v>173</v>
      </c>
    </row>
    <row r="19">
      <c r="A19" s="424">
        <v>18.0</v>
      </c>
      <c r="B19" s="437" t="s">
        <v>72</v>
      </c>
    </row>
    <row r="20">
      <c r="A20" s="424">
        <v>19.0</v>
      </c>
      <c r="B20" s="437" t="s">
        <v>174</v>
      </c>
    </row>
    <row r="21">
      <c r="A21" s="424">
        <v>20.0</v>
      </c>
      <c r="B21" s="437" t="s">
        <v>175</v>
      </c>
    </row>
    <row r="22">
      <c r="A22" s="424">
        <v>21.0</v>
      </c>
      <c r="B22" s="437" t="s">
        <v>176</v>
      </c>
    </row>
    <row r="23">
      <c r="A23" s="424">
        <v>22.0</v>
      </c>
      <c r="B23" s="432" t="s">
        <v>177</v>
      </c>
    </row>
    <row r="24">
      <c r="A24" s="424">
        <v>23.0</v>
      </c>
      <c r="B24" s="437" t="s">
        <v>73</v>
      </c>
    </row>
    <row r="25">
      <c r="A25" s="424">
        <v>24.0</v>
      </c>
      <c r="B25" s="437" t="s">
        <v>74</v>
      </c>
    </row>
    <row r="26">
      <c r="A26" s="424">
        <v>25.0</v>
      </c>
      <c r="B26" s="437" t="s">
        <v>178</v>
      </c>
    </row>
    <row r="27">
      <c r="A27" s="424">
        <v>26.0</v>
      </c>
      <c r="B27" s="437" t="s">
        <v>179</v>
      </c>
    </row>
    <row r="29">
      <c r="A29" s="424">
        <v>27.0</v>
      </c>
      <c r="B29" s="437" t="s">
        <v>185</v>
      </c>
    </row>
    <row r="30">
      <c r="A30" s="424">
        <v>28.0</v>
      </c>
      <c r="B30" s="437" t="s">
        <v>186</v>
      </c>
    </row>
    <row r="31">
      <c r="A31" s="424">
        <v>29.0</v>
      </c>
      <c r="B31" s="437" t="s">
        <v>180</v>
      </c>
    </row>
    <row r="32">
      <c r="A32" s="424">
        <v>30.0</v>
      </c>
      <c r="B32" s="437" t="s">
        <v>85</v>
      </c>
    </row>
    <row r="33">
      <c r="A33" s="424">
        <v>31.0</v>
      </c>
      <c r="B33" s="437" t="s">
        <v>181</v>
      </c>
    </row>
    <row r="34">
      <c r="A34" s="424">
        <v>32.0</v>
      </c>
      <c r="B34" s="437" t="s">
        <v>86</v>
      </c>
    </row>
    <row r="35">
      <c r="A35" s="424">
        <v>33.0</v>
      </c>
      <c r="B35" s="437" t="s">
        <v>182</v>
      </c>
    </row>
    <row r="36">
      <c r="A36" s="424">
        <v>34.0</v>
      </c>
      <c r="B36" s="437" t="s">
        <v>183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4"/>
    <hyperlink r:id="rId23" ref="B25"/>
    <hyperlink r:id="rId24" ref="B26"/>
    <hyperlink r:id="rId25" ref="B27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</hyperlinks>
  <drawing r:id="rId3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4.43"/>
    <col customWidth="1" min="3" max="3" width="18.29"/>
    <col customWidth="1" min="7" max="7" width="19.57"/>
    <col customWidth="1" min="8" max="8" width="25.43"/>
  </cols>
  <sheetData>
    <row r="2">
      <c r="A2" s="438" t="s">
        <v>144</v>
      </c>
      <c r="B2" s="438" t="s">
        <v>142</v>
      </c>
      <c r="C2" s="438" t="s">
        <v>151</v>
      </c>
      <c r="G2" s="424" t="s">
        <v>144</v>
      </c>
      <c r="H2" s="424" t="s">
        <v>187</v>
      </c>
      <c r="I2" s="439" t="s">
        <v>188</v>
      </c>
    </row>
    <row r="3">
      <c r="A3" s="424" t="s">
        <v>189</v>
      </c>
      <c r="B3" s="439">
        <v>28.0</v>
      </c>
      <c r="C3" s="424">
        <v>2.5</v>
      </c>
      <c r="G3" s="424" t="s">
        <v>189</v>
      </c>
      <c r="H3" s="424" t="s">
        <v>190</v>
      </c>
      <c r="I3" s="439">
        <v>5.0</v>
      </c>
    </row>
    <row r="4">
      <c r="A4" s="424" t="s">
        <v>191</v>
      </c>
      <c r="B4" s="439">
        <v>25.0</v>
      </c>
      <c r="C4" s="424">
        <v>2.6</v>
      </c>
      <c r="G4" s="424" t="s">
        <v>191</v>
      </c>
      <c r="H4" s="424" t="s">
        <v>190</v>
      </c>
      <c r="I4" s="439">
        <v>5.0</v>
      </c>
    </row>
    <row r="5">
      <c r="A5" s="424" t="s">
        <v>158</v>
      </c>
      <c r="B5" s="439">
        <v>25.0</v>
      </c>
      <c r="C5" s="424">
        <v>4.0</v>
      </c>
      <c r="G5" s="424" t="s">
        <v>158</v>
      </c>
      <c r="H5" s="424" t="s">
        <v>192</v>
      </c>
      <c r="I5" s="439">
        <v>25.0</v>
      </c>
    </row>
    <row r="6">
      <c r="A6" s="424" t="s">
        <v>149</v>
      </c>
      <c r="B6" s="439">
        <v>55.0</v>
      </c>
      <c r="C6" s="424">
        <v>8.0</v>
      </c>
      <c r="G6" s="424" t="s">
        <v>149</v>
      </c>
      <c r="H6" s="424" t="s">
        <v>145</v>
      </c>
      <c r="I6" s="439">
        <v>29.0</v>
      </c>
    </row>
    <row r="7">
      <c r="A7" s="424" t="s">
        <v>152</v>
      </c>
      <c r="B7" s="439">
        <v>80.0</v>
      </c>
      <c r="C7" s="424">
        <v>9.0</v>
      </c>
      <c r="G7" s="424" t="s">
        <v>152</v>
      </c>
      <c r="H7" s="424" t="s">
        <v>193</v>
      </c>
      <c r="I7" s="439">
        <v>12.0</v>
      </c>
    </row>
    <row r="8">
      <c r="A8" s="424" t="s">
        <v>194</v>
      </c>
      <c r="B8" s="439">
        <v>66.0</v>
      </c>
      <c r="C8" s="424">
        <v>17.0</v>
      </c>
      <c r="G8" s="424" t="s">
        <v>194</v>
      </c>
      <c r="H8" s="424" t="s">
        <v>193</v>
      </c>
      <c r="I8" s="439">
        <v>10.0</v>
      </c>
    </row>
    <row r="9">
      <c r="A9" s="424" t="s">
        <v>195</v>
      </c>
      <c r="B9" s="439">
        <v>86.0</v>
      </c>
      <c r="C9" s="424">
        <v>0.2</v>
      </c>
      <c r="G9" s="424" t="s">
        <v>195</v>
      </c>
      <c r="H9" s="424" t="s">
        <v>193</v>
      </c>
      <c r="I9" s="439">
        <v>12.0</v>
      </c>
    </row>
    <row r="10">
      <c r="A10" s="424" t="s">
        <v>196</v>
      </c>
      <c r="B10" s="439">
        <v>20.0</v>
      </c>
      <c r="C10" s="424">
        <v>2.0</v>
      </c>
      <c r="G10" s="424" t="s">
        <v>196</v>
      </c>
      <c r="H10" s="424" t="s">
        <v>192</v>
      </c>
      <c r="I10" s="439">
        <v>20.0</v>
      </c>
    </row>
    <row r="11">
      <c r="A11" s="424" t="s">
        <v>197</v>
      </c>
      <c r="B11" s="439">
        <v>18.0</v>
      </c>
      <c r="C11" s="424">
        <v>1.3</v>
      </c>
      <c r="G11" s="424" t="s">
        <v>197</v>
      </c>
      <c r="H11" s="424" t="s">
        <v>192</v>
      </c>
      <c r="I11" s="439">
        <v>18.0</v>
      </c>
    </row>
    <row r="12">
      <c r="A12" s="424" t="s">
        <v>198</v>
      </c>
      <c r="B12" s="439">
        <v>27.0</v>
      </c>
      <c r="C12" s="424">
        <v>1.5</v>
      </c>
      <c r="G12" s="424" t="s">
        <v>198</v>
      </c>
      <c r="H12" s="424" t="s">
        <v>192</v>
      </c>
      <c r="I12" s="439">
        <v>27.0</v>
      </c>
    </row>
    <row r="13">
      <c r="A13" s="424" t="s">
        <v>199</v>
      </c>
      <c r="B13" s="439">
        <v>30.0</v>
      </c>
      <c r="C13" s="424">
        <v>1.0</v>
      </c>
      <c r="G13" s="424" t="s">
        <v>199</v>
      </c>
      <c r="H13" s="424" t="s">
        <v>192</v>
      </c>
      <c r="I13" s="439">
        <v>30.0</v>
      </c>
    </row>
    <row r="14">
      <c r="A14" s="424" t="s">
        <v>159</v>
      </c>
      <c r="B14" s="439">
        <v>14.0</v>
      </c>
      <c r="C14" s="424">
        <v>0.3</v>
      </c>
      <c r="G14" s="424" t="s">
        <v>159</v>
      </c>
      <c r="H14" s="424" t="s">
        <v>145</v>
      </c>
      <c r="I14" s="439">
        <v>20.0</v>
      </c>
    </row>
    <row r="15">
      <c r="A15" s="424" t="s">
        <v>200</v>
      </c>
      <c r="B15" s="439">
        <v>17.0</v>
      </c>
      <c r="C15" s="424">
        <v>0.8</v>
      </c>
      <c r="G15" s="424" t="s">
        <v>200</v>
      </c>
      <c r="H15" s="424" t="s">
        <v>145</v>
      </c>
      <c r="I15" s="439">
        <v>17.0</v>
      </c>
    </row>
    <row r="16">
      <c r="A16" s="424" t="s">
        <v>201</v>
      </c>
      <c r="B16" s="439">
        <v>18.0</v>
      </c>
      <c r="C16" s="424">
        <v>0.7</v>
      </c>
      <c r="G16" s="424" t="s">
        <v>201</v>
      </c>
      <c r="H16" s="424" t="s">
        <v>145</v>
      </c>
      <c r="I16" s="439">
        <v>2.0</v>
      </c>
    </row>
    <row r="17">
      <c r="A17" s="424" t="s">
        <v>202</v>
      </c>
      <c r="B17" s="439">
        <v>10.0</v>
      </c>
      <c r="C17" s="424">
        <v>0.5</v>
      </c>
      <c r="G17" s="424" t="s">
        <v>202</v>
      </c>
      <c r="H17" s="424" t="s">
        <v>203</v>
      </c>
      <c r="I17" s="439">
        <v>17.0</v>
      </c>
    </row>
    <row r="18">
      <c r="A18" s="424" t="s">
        <v>150</v>
      </c>
      <c r="B18" s="439">
        <v>22.0</v>
      </c>
      <c r="C18" s="424">
        <v>0.0</v>
      </c>
      <c r="G18" s="424" t="s">
        <v>150</v>
      </c>
      <c r="H18" s="424" t="s">
        <v>204</v>
      </c>
      <c r="I18" s="46">
        <f>(75*B18)/100</f>
        <v>16.5</v>
      </c>
    </row>
    <row r="19">
      <c r="G19" s="424" t="s">
        <v>205</v>
      </c>
      <c r="H19" s="424" t="s">
        <v>206</v>
      </c>
      <c r="I19" s="46"/>
    </row>
  </sheetData>
  <drawing r:id="rId1"/>
</worksheet>
</file>